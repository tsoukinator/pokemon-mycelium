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PG Maker XP\pokemon-mycelium\Admin\"/>
    </mc:Choice>
  </mc:AlternateContent>
  <xr:revisionPtr revIDLastSave="0" documentId="13_ncr:1_{966FCCA6-4D43-4B78-B0F5-2031041FB628}" xr6:coauthVersionLast="47" xr6:coauthVersionMax="47" xr10:uidLastSave="{00000000-0000-0000-0000-000000000000}"/>
  <bookViews>
    <workbookView xWindow="-105" yWindow="0" windowWidth="16080" windowHeight="15585" xr2:uid="{2070FB27-31FB-4CCB-9415-DBC063CD8A2B}"/>
  </bookViews>
  <sheets>
    <sheet name="Data" sheetId="1" r:id="rId1"/>
    <sheet name="RandomFunction" sheetId="4" r:id="rId2"/>
    <sheet name="Testin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C20" i="4"/>
  <c r="C19" i="4"/>
  <c r="C11" i="4"/>
  <c r="C12" i="4"/>
  <c r="C10" i="4"/>
  <c r="C191" i="4"/>
  <c r="C175" i="4"/>
  <c r="C159" i="4"/>
  <c r="C143" i="4"/>
  <c r="C127" i="4"/>
  <c r="C111" i="4"/>
  <c r="C95" i="4"/>
  <c r="C79" i="4"/>
  <c r="C63" i="4"/>
  <c r="C47" i="4"/>
  <c r="C31" i="4"/>
  <c r="C15" i="4"/>
  <c r="C128" i="4"/>
  <c r="C190" i="4"/>
  <c r="C174" i="4"/>
  <c r="C158" i="4"/>
  <c r="C142" i="4"/>
  <c r="C126" i="4"/>
  <c r="C110" i="4"/>
  <c r="C94" i="4"/>
  <c r="C78" i="4"/>
  <c r="C62" i="4"/>
  <c r="C46" i="4"/>
  <c r="C30" i="4"/>
  <c r="C14" i="4"/>
  <c r="C88" i="4"/>
  <c r="C103" i="4"/>
  <c r="C118" i="4"/>
  <c r="C85" i="4"/>
  <c r="C52" i="4"/>
  <c r="C99" i="4"/>
  <c r="C18" i="4"/>
  <c r="C97" i="4"/>
  <c r="C16" i="4"/>
  <c r="C189" i="4"/>
  <c r="C173" i="4"/>
  <c r="C157" i="4"/>
  <c r="C141" i="4"/>
  <c r="C125" i="4"/>
  <c r="C109" i="4"/>
  <c r="C93" i="4"/>
  <c r="C77" i="4"/>
  <c r="C61" i="4"/>
  <c r="C45" i="4"/>
  <c r="C29" i="4"/>
  <c r="C13" i="4"/>
  <c r="C155" i="4"/>
  <c r="C123" i="4"/>
  <c r="C91" i="4"/>
  <c r="C59" i="4"/>
  <c r="C43" i="4"/>
  <c r="C58" i="4"/>
  <c r="C26" i="4"/>
  <c r="C153" i="4"/>
  <c r="C121" i="4"/>
  <c r="C73" i="4"/>
  <c r="C41" i="4"/>
  <c r="C184" i="4"/>
  <c r="C136" i="4"/>
  <c r="C104" i="4"/>
  <c r="C56" i="4"/>
  <c r="C40" i="4"/>
  <c r="C183" i="4"/>
  <c r="C119" i="4"/>
  <c r="C71" i="4"/>
  <c r="C55" i="4"/>
  <c r="C150" i="4"/>
  <c r="C70" i="4"/>
  <c r="C181" i="4"/>
  <c r="C117" i="4"/>
  <c r="C180" i="4"/>
  <c r="C116" i="4"/>
  <c r="C163" i="4"/>
  <c r="C115" i="4"/>
  <c r="C35" i="4"/>
  <c r="C146" i="4"/>
  <c r="C34" i="4"/>
  <c r="C145" i="4"/>
  <c r="C81" i="4"/>
  <c r="C144" i="4"/>
  <c r="C64" i="4"/>
  <c r="C188" i="4"/>
  <c r="C172" i="4"/>
  <c r="C156" i="4"/>
  <c r="C140" i="4"/>
  <c r="C124" i="4"/>
  <c r="C108" i="4"/>
  <c r="C92" i="4"/>
  <c r="C76" i="4"/>
  <c r="C60" i="4"/>
  <c r="C44" i="4"/>
  <c r="C28" i="4"/>
  <c r="C139" i="4"/>
  <c r="C107" i="4"/>
  <c r="C75" i="4"/>
  <c r="C42" i="4"/>
  <c r="C137" i="4"/>
  <c r="C105" i="4"/>
  <c r="C57" i="4"/>
  <c r="C168" i="4"/>
  <c r="C72" i="4"/>
  <c r="C167" i="4"/>
  <c r="C87" i="4"/>
  <c r="C166" i="4"/>
  <c r="C86" i="4"/>
  <c r="C22" i="4"/>
  <c r="C149" i="4"/>
  <c r="C21" i="4"/>
  <c r="C148" i="4"/>
  <c r="C100" i="4"/>
  <c r="C179" i="4"/>
  <c r="C83" i="4"/>
  <c r="C130" i="4"/>
  <c r="C161" i="4"/>
  <c r="C33" i="4"/>
  <c r="C96" i="4"/>
  <c r="C187" i="4"/>
  <c r="C171" i="4"/>
  <c r="C27" i="4"/>
  <c r="C152" i="4"/>
  <c r="C39" i="4"/>
  <c r="C54" i="4"/>
  <c r="C37" i="4"/>
  <c r="C84" i="4"/>
  <c r="C162" i="4"/>
  <c r="C176" i="4"/>
  <c r="C186" i="4"/>
  <c r="C170" i="4"/>
  <c r="C154" i="4"/>
  <c r="C138" i="4"/>
  <c r="C122" i="4"/>
  <c r="C106" i="4"/>
  <c r="C90" i="4"/>
  <c r="C74" i="4"/>
  <c r="C89" i="4"/>
  <c r="C120" i="4"/>
  <c r="C151" i="4"/>
  <c r="C23" i="4"/>
  <c r="C102" i="4"/>
  <c r="C165" i="4"/>
  <c r="C101" i="4"/>
  <c r="C132" i="4"/>
  <c r="C131" i="4"/>
  <c r="C114" i="4"/>
  <c r="C113" i="4"/>
  <c r="C185" i="4"/>
  <c r="C169" i="4"/>
  <c r="C25" i="4"/>
  <c r="C135" i="4"/>
  <c r="C38" i="4"/>
  <c r="C53" i="4"/>
  <c r="C68" i="4"/>
  <c r="C178" i="4"/>
  <c r="C160" i="4"/>
  <c r="C24" i="4"/>
  <c r="C67" i="4"/>
  <c r="C98" i="4"/>
  <c r="C177" i="4"/>
  <c r="C17" i="4"/>
  <c r="C48" i="4"/>
  <c r="C69" i="4"/>
  <c r="C82" i="4"/>
  <c r="C49" i="4"/>
  <c r="C182" i="4"/>
  <c r="C134" i="4"/>
  <c r="C133" i="4"/>
  <c r="C36" i="4"/>
  <c r="C51" i="4"/>
  <c r="C66" i="4"/>
  <c r="C65" i="4"/>
  <c r="C32" i="4"/>
  <c r="C147" i="4"/>
  <c r="C164" i="4"/>
  <c r="C129" i="4"/>
  <c r="C50" i="4"/>
  <c r="C80" i="4"/>
  <c r="C112" i="4"/>
  <c r="C191" i="1"/>
  <c r="D191" i="1" s="1"/>
  <c r="E191" i="1" s="1"/>
  <c r="B191" i="1"/>
  <c r="C190" i="1"/>
  <c r="D190" i="1" s="1"/>
  <c r="E190" i="1" s="1"/>
  <c r="B190" i="1"/>
  <c r="C189" i="1"/>
  <c r="D189" i="1" s="1"/>
  <c r="E189" i="1" s="1"/>
  <c r="B189" i="1"/>
  <c r="C188" i="1"/>
  <c r="D188" i="1" s="1"/>
  <c r="E188" i="1" s="1"/>
  <c r="B188" i="1"/>
  <c r="C187" i="1"/>
  <c r="D187" i="1" s="1"/>
  <c r="E187" i="1" s="1"/>
  <c r="B187" i="1"/>
  <c r="C186" i="1"/>
  <c r="D186" i="1" s="1"/>
  <c r="E186" i="1" s="1"/>
  <c r="B186" i="1"/>
  <c r="C185" i="1"/>
  <c r="D185" i="1" s="1"/>
  <c r="E185" i="1" s="1"/>
  <c r="B185" i="1"/>
  <c r="C184" i="1"/>
  <c r="D184" i="1" s="1"/>
  <c r="E184" i="1" s="1"/>
  <c r="B184" i="1"/>
  <c r="C183" i="1"/>
  <c r="D183" i="1" s="1"/>
  <c r="E183" i="1" s="1"/>
  <c r="B183" i="1"/>
  <c r="C182" i="1"/>
  <c r="D182" i="1" s="1"/>
  <c r="E182" i="1" s="1"/>
  <c r="B182" i="1"/>
  <c r="C181" i="1"/>
  <c r="D181" i="1" s="1"/>
  <c r="E181" i="1" s="1"/>
  <c r="B181" i="1"/>
  <c r="C180" i="1"/>
  <c r="D180" i="1" s="1"/>
  <c r="E180" i="1" s="1"/>
  <c r="B180" i="1"/>
  <c r="C179" i="1"/>
  <c r="D179" i="1" s="1"/>
  <c r="E179" i="1" s="1"/>
  <c r="B179" i="1"/>
  <c r="C178" i="1"/>
  <c r="D178" i="1" s="1"/>
  <c r="E178" i="1" s="1"/>
  <c r="B178" i="1"/>
  <c r="C177" i="1"/>
  <c r="D177" i="1" s="1"/>
  <c r="E177" i="1" s="1"/>
  <c r="B177" i="1"/>
  <c r="C176" i="1"/>
  <c r="D176" i="1" s="1"/>
  <c r="E176" i="1" s="1"/>
  <c r="B176" i="1"/>
  <c r="C175" i="1"/>
  <c r="D175" i="1" s="1"/>
  <c r="E175" i="1" s="1"/>
  <c r="B175" i="1"/>
  <c r="C174" i="1"/>
  <c r="D174" i="1" s="1"/>
  <c r="E174" i="1" s="1"/>
  <c r="B174" i="1"/>
  <c r="C173" i="1"/>
  <c r="D173" i="1" s="1"/>
  <c r="E173" i="1" s="1"/>
  <c r="B173" i="1"/>
  <c r="C172" i="1"/>
  <c r="D172" i="1" s="1"/>
  <c r="E172" i="1" s="1"/>
  <c r="B172" i="1"/>
  <c r="C171" i="1"/>
  <c r="D171" i="1" s="1"/>
  <c r="E171" i="1" s="1"/>
  <c r="B171" i="1"/>
  <c r="C170" i="1"/>
  <c r="D170" i="1" s="1"/>
  <c r="E170" i="1" s="1"/>
  <c r="B170" i="1"/>
  <c r="C169" i="1"/>
  <c r="D169" i="1" s="1"/>
  <c r="E169" i="1" s="1"/>
  <c r="B169" i="1"/>
  <c r="C168" i="1"/>
  <c r="D168" i="1" s="1"/>
  <c r="E168" i="1" s="1"/>
  <c r="B168" i="1"/>
  <c r="C167" i="1"/>
  <c r="D167" i="1" s="1"/>
  <c r="E167" i="1" s="1"/>
  <c r="B167" i="1"/>
  <c r="C166" i="1"/>
  <c r="D166" i="1" s="1"/>
  <c r="E166" i="1" s="1"/>
  <c r="B166" i="1"/>
  <c r="C165" i="1"/>
  <c r="D165" i="1" s="1"/>
  <c r="E165" i="1" s="1"/>
  <c r="B165" i="1"/>
  <c r="C164" i="1"/>
  <c r="D164" i="1" s="1"/>
  <c r="E164" i="1" s="1"/>
  <c r="B164" i="1"/>
  <c r="C163" i="1"/>
  <c r="D163" i="1" s="1"/>
  <c r="E163" i="1" s="1"/>
  <c r="B163" i="1"/>
  <c r="C162" i="1"/>
  <c r="D162" i="1" s="1"/>
  <c r="E162" i="1" s="1"/>
  <c r="B162" i="1"/>
  <c r="C161" i="1"/>
  <c r="D161" i="1" s="1"/>
  <c r="E161" i="1" s="1"/>
  <c r="B161" i="1"/>
  <c r="C160" i="1"/>
  <c r="D160" i="1" s="1"/>
  <c r="E160" i="1" s="1"/>
  <c r="B160" i="1"/>
  <c r="C159" i="1"/>
  <c r="D159" i="1" s="1"/>
  <c r="E159" i="1" s="1"/>
  <c r="B159" i="1"/>
  <c r="C158" i="1"/>
  <c r="D158" i="1" s="1"/>
  <c r="E158" i="1" s="1"/>
  <c r="B158" i="1"/>
  <c r="C157" i="1"/>
  <c r="D157" i="1" s="1"/>
  <c r="E157" i="1" s="1"/>
  <c r="B157" i="1"/>
  <c r="C156" i="1"/>
  <c r="D156" i="1" s="1"/>
  <c r="E156" i="1" s="1"/>
  <c r="B156" i="1"/>
  <c r="C155" i="1"/>
  <c r="D155" i="1" s="1"/>
  <c r="E155" i="1" s="1"/>
  <c r="B155" i="1"/>
  <c r="C154" i="1"/>
  <c r="D154" i="1" s="1"/>
  <c r="E154" i="1" s="1"/>
  <c r="B154" i="1"/>
  <c r="C153" i="1"/>
  <c r="D153" i="1" s="1"/>
  <c r="E153" i="1" s="1"/>
  <c r="B153" i="1"/>
  <c r="C152" i="1"/>
  <c r="D152" i="1" s="1"/>
  <c r="E152" i="1" s="1"/>
  <c r="B152" i="1"/>
  <c r="C151" i="1"/>
  <c r="D151" i="1" s="1"/>
  <c r="E151" i="1" s="1"/>
  <c r="B151" i="1"/>
  <c r="C150" i="1"/>
  <c r="D150" i="1" s="1"/>
  <c r="E150" i="1" s="1"/>
  <c r="B150" i="1"/>
  <c r="C149" i="1"/>
  <c r="D149" i="1" s="1"/>
  <c r="E149" i="1" s="1"/>
  <c r="B149" i="1"/>
  <c r="C148" i="1"/>
  <c r="D148" i="1" s="1"/>
  <c r="E148" i="1" s="1"/>
  <c r="B148" i="1"/>
  <c r="C147" i="1"/>
  <c r="D147" i="1" s="1"/>
  <c r="E147" i="1" s="1"/>
  <c r="B147" i="1"/>
  <c r="C146" i="1"/>
  <c r="D146" i="1" s="1"/>
  <c r="E146" i="1" s="1"/>
  <c r="B146" i="1"/>
  <c r="C145" i="1"/>
  <c r="D145" i="1" s="1"/>
  <c r="E145" i="1" s="1"/>
  <c r="B145" i="1"/>
  <c r="C144" i="1"/>
  <c r="D144" i="1" s="1"/>
  <c r="E144" i="1" s="1"/>
  <c r="B144" i="1"/>
  <c r="C143" i="1"/>
  <c r="D143" i="1" s="1"/>
  <c r="E143" i="1" s="1"/>
  <c r="B143" i="1"/>
  <c r="C142" i="1"/>
  <c r="D142" i="1" s="1"/>
  <c r="E142" i="1" s="1"/>
  <c r="B142" i="1"/>
  <c r="C141" i="1"/>
  <c r="D141" i="1" s="1"/>
  <c r="E141" i="1" s="1"/>
  <c r="B141" i="1"/>
  <c r="C140" i="1"/>
  <c r="D140" i="1" s="1"/>
  <c r="E140" i="1" s="1"/>
  <c r="B140" i="1"/>
  <c r="C139" i="1"/>
  <c r="D139" i="1" s="1"/>
  <c r="E139" i="1" s="1"/>
  <c r="B139" i="1"/>
  <c r="C138" i="1"/>
  <c r="D138" i="1" s="1"/>
  <c r="E138" i="1" s="1"/>
  <c r="B138" i="1"/>
  <c r="C137" i="1"/>
  <c r="D137" i="1" s="1"/>
  <c r="E137" i="1" s="1"/>
  <c r="B137" i="1"/>
  <c r="C136" i="1"/>
  <c r="D136" i="1" s="1"/>
  <c r="E136" i="1" s="1"/>
  <c r="B136" i="1"/>
  <c r="C135" i="1"/>
  <c r="D135" i="1" s="1"/>
  <c r="E135" i="1" s="1"/>
  <c r="B135" i="1"/>
  <c r="C134" i="1"/>
  <c r="D134" i="1" s="1"/>
  <c r="E134" i="1" s="1"/>
  <c r="B134" i="1"/>
  <c r="C133" i="1"/>
  <c r="D133" i="1" s="1"/>
  <c r="E133" i="1" s="1"/>
  <c r="B133" i="1"/>
  <c r="C132" i="1"/>
  <c r="D132" i="1" s="1"/>
  <c r="E132" i="1" s="1"/>
  <c r="B132" i="1"/>
  <c r="C131" i="1"/>
  <c r="D131" i="1" s="1"/>
  <c r="E131" i="1" s="1"/>
  <c r="B131" i="1"/>
  <c r="C130" i="1"/>
  <c r="D130" i="1" s="1"/>
  <c r="E130" i="1" s="1"/>
  <c r="B130" i="1"/>
  <c r="C129" i="1"/>
  <c r="D129" i="1" s="1"/>
  <c r="E129" i="1" s="1"/>
  <c r="B129" i="1"/>
  <c r="C128" i="1"/>
  <c r="D128" i="1" s="1"/>
  <c r="E128" i="1" s="1"/>
  <c r="B128" i="1"/>
  <c r="C127" i="1"/>
  <c r="D127" i="1" s="1"/>
  <c r="E127" i="1" s="1"/>
  <c r="B127" i="1"/>
  <c r="C126" i="1"/>
  <c r="D126" i="1" s="1"/>
  <c r="E126" i="1" s="1"/>
  <c r="B126" i="1"/>
  <c r="C125" i="1"/>
  <c r="D125" i="1" s="1"/>
  <c r="E125" i="1" s="1"/>
  <c r="B125" i="1"/>
  <c r="C124" i="1"/>
  <c r="D124" i="1" s="1"/>
  <c r="E124" i="1" s="1"/>
  <c r="B124" i="1"/>
  <c r="C123" i="1"/>
  <c r="D123" i="1" s="1"/>
  <c r="E123" i="1" s="1"/>
  <c r="B123" i="1"/>
  <c r="C122" i="1"/>
  <c r="D122" i="1" s="1"/>
  <c r="E122" i="1" s="1"/>
  <c r="B122" i="1"/>
  <c r="C121" i="1"/>
  <c r="D121" i="1" s="1"/>
  <c r="E121" i="1" s="1"/>
  <c r="B121" i="1"/>
  <c r="C120" i="1"/>
  <c r="D120" i="1" s="1"/>
  <c r="E120" i="1" s="1"/>
  <c r="B120" i="1"/>
  <c r="C119" i="1"/>
  <c r="D119" i="1" s="1"/>
  <c r="E119" i="1" s="1"/>
  <c r="B119" i="1"/>
  <c r="C118" i="1"/>
  <c r="D118" i="1" s="1"/>
  <c r="E118" i="1" s="1"/>
  <c r="B118" i="1"/>
  <c r="C117" i="1"/>
  <c r="D117" i="1" s="1"/>
  <c r="E117" i="1" s="1"/>
  <c r="B117" i="1"/>
  <c r="C116" i="1"/>
  <c r="D116" i="1" s="1"/>
  <c r="E116" i="1" s="1"/>
  <c r="B116" i="1"/>
  <c r="C115" i="1"/>
  <c r="D115" i="1" s="1"/>
  <c r="E115" i="1" s="1"/>
  <c r="B115" i="1"/>
  <c r="C114" i="1"/>
  <c r="D114" i="1" s="1"/>
  <c r="E114" i="1" s="1"/>
  <c r="B114" i="1"/>
  <c r="C113" i="1"/>
  <c r="D113" i="1" s="1"/>
  <c r="E113" i="1" s="1"/>
  <c r="B113" i="1"/>
  <c r="C112" i="1"/>
  <c r="D112" i="1" s="1"/>
  <c r="E112" i="1" s="1"/>
  <c r="B112" i="1"/>
  <c r="C111" i="1"/>
  <c r="D111" i="1" s="1"/>
  <c r="E111" i="1" s="1"/>
  <c r="B111" i="1"/>
  <c r="C110" i="1"/>
  <c r="D110" i="1" s="1"/>
  <c r="E110" i="1" s="1"/>
  <c r="B110" i="1"/>
  <c r="C109" i="1"/>
  <c r="D109" i="1" s="1"/>
  <c r="E109" i="1" s="1"/>
  <c r="B109" i="1"/>
  <c r="C108" i="1"/>
  <c r="D108" i="1" s="1"/>
  <c r="E108" i="1" s="1"/>
  <c r="B108" i="1"/>
  <c r="C107" i="1"/>
  <c r="D107" i="1" s="1"/>
  <c r="E107" i="1" s="1"/>
  <c r="B107" i="1"/>
  <c r="C106" i="1"/>
  <c r="D106" i="1" s="1"/>
  <c r="E106" i="1" s="1"/>
  <c r="B106" i="1"/>
  <c r="C105" i="1"/>
  <c r="D105" i="1" s="1"/>
  <c r="E105" i="1" s="1"/>
  <c r="B105" i="1"/>
  <c r="C104" i="1"/>
  <c r="D104" i="1" s="1"/>
  <c r="E104" i="1" s="1"/>
  <c r="B104" i="1"/>
  <c r="C103" i="1"/>
  <c r="D103" i="1" s="1"/>
  <c r="E103" i="1" s="1"/>
  <c r="B103" i="1"/>
  <c r="C102" i="1"/>
  <c r="D102" i="1" s="1"/>
  <c r="E102" i="1" s="1"/>
  <c r="B102" i="1"/>
  <c r="C101" i="1"/>
  <c r="D101" i="1" s="1"/>
  <c r="E101" i="1" s="1"/>
  <c r="B101" i="1"/>
  <c r="C100" i="1"/>
  <c r="D100" i="1" s="1"/>
  <c r="E100" i="1" s="1"/>
  <c r="B100" i="1"/>
  <c r="C99" i="1"/>
  <c r="D99" i="1" s="1"/>
  <c r="E99" i="1" s="1"/>
  <c r="B99" i="1"/>
  <c r="C98" i="1"/>
  <c r="D98" i="1" s="1"/>
  <c r="E98" i="1" s="1"/>
  <c r="B98" i="1"/>
  <c r="C97" i="1"/>
  <c r="D97" i="1" s="1"/>
  <c r="E97" i="1" s="1"/>
  <c r="B97" i="1"/>
  <c r="C96" i="1"/>
  <c r="D96" i="1" s="1"/>
  <c r="E96" i="1" s="1"/>
  <c r="B96" i="1"/>
  <c r="C95" i="1"/>
  <c r="D95" i="1" s="1"/>
  <c r="E95" i="1" s="1"/>
  <c r="B95" i="1"/>
  <c r="C94" i="1"/>
  <c r="D94" i="1" s="1"/>
  <c r="E94" i="1" s="1"/>
  <c r="B94" i="1"/>
  <c r="C93" i="1"/>
  <c r="D93" i="1" s="1"/>
  <c r="E93" i="1" s="1"/>
  <c r="B93" i="1"/>
  <c r="C92" i="1"/>
  <c r="D92" i="1" s="1"/>
  <c r="E92" i="1" s="1"/>
  <c r="B92" i="1"/>
  <c r="C91" i="1"/>
  <c r="D91" i="1" s="1"/>
  <c r="E91" i="1" s="1"/>
  <c r="B91" i="1"/>
  <c r="C90" i="1"/>
  <c r="D90" i="1" s="1"/>
  <c r="E90" i="1" s="1"/>
  <c r="B90" i="1"/>
  <c r="C89" i="1"/>
  <c r="D89" i="1" s="1"/>
  <c r="E89" i="1" s="1"/>
  <c r="B89" i="1"/>
  <c r="C88" i="1"/>
  <c r="D88" i="1" s="1"/>
  <c r="E88" i="1" s="1"/>
  <c r="B88" i="1"/>
  <c r="C87" i="1"/>
  <c r="D87" i="1" s="1"/>
  <c r="E87" i="1" s="1"/>
  <c r="B87" i="1"/>
  <c r="C86" i="1"/>
  <c r="D86" i="1" s="1"/>
  <c r="E86" i="1" s="1"/>
  <c r="B86" i="1"/>
  <c r="C85" i="1"/>
  <c r="D85" i="1" s="1"/>
  <c r="E85" i="1" s="1"/>
  <c r="B85" i="1"/>
  <c r="C84" i="1"/>
  <c r="D84" i="1" s="1"/>
  <c r="E84" i="1" s="1"/>
  <c r="B84" i="1"/>
  <c r="C83" i="1"/>
  <c r="D83" i="1" s="1"/>
  <c r="E83" i="1" s="1"/>
  <c r="B83" i="1"/>
  <c r="C82" i="1"/>
  <c r="D82" i="1" s="1"/>
  <c r="E82" i="1" s="1"/>
  <c r="B82" i="1"/>
  <c r="C81" i="1"/>
  <c r="D81" i="1" s="1"/>
  <c r="E81" i="1" s="1"/>
  <c r="B81" i="1"/>
  <c r="C80" i="1"/>
  <c r="D80" i="1" s="1"/>
  <c r="E80" i="1" s="1"/>
  <c r="B80" i="1"/>
  <c r="C79" i="1"/>
  <c r="D79" i="1" s="1"/>
  <c r="E79" i="1" s="1"/>
  <c r="B79" i="1"/>
  <c r="C78" i="1"/>
  <c r="D78" i="1" s="1"/>
  <c r="E78" i="1" s="1"/>
  <c r="B78" i="1"/>
  <c r="C77" i="1"/>
  <c r="D77" i="1" s="1"/>
  <c r="E77" i="1" s="1"/>
  <c r="B77" i="1"/>
  <c r="C76" i="1"/>
  <c r="D76" i="1" s="1"/>
  <c r="E76" i="1" s="1"/>
  <c r="B76" i="1"/>
  <c r="C75" i="1"/>
  <c r="D75" i="1" s="1"/>
  <c r="E75" i="1" s="1"/>
  <c r="B75" i="1"/>
  <c r="C74" i="1"/>
  <c r="D74" i="1" s="1"/>
  <c r="E74" i="1" s="1"/>
  <c r="B74" i="1"/>
  <c r="C73" i="1"/>
  <c r="D73" i="1" s="1"/>
  <c r="E73" i="1" s="1"/>
  <c r="B73" i="1"/>
  <c r="C72" i="1"/>
  <c r="D72" i="1" s="1"/>
  <c r="E72" i="1" s="1"/>
  <c r="B72" i="1"/>
  <c r="C71" i="1"/>
  <c r="D71" i="1" s="1"/>
  <c r="E71" i="1" s="1"/>
  <c r="B71" i="1"/>
  <c r="C70" i="1"/>
  <c r="D70" i="1" s="1"/>
  <c r="E70" i="1" s="1"/>
  <c r="B70" i="1"/>
  <c r="C69" i="1"/>
  <c r="D69" i="1" s="1"/>
  <c r="E69" i="1" s="1"/>
  <c r="B69" i="1"/>
  <c r="C68" i="1"/>
  <c r="D68" i="1" s="1"/>
  <c r="E68" i="1" s="1"/>
  <c r="B68" i="1"/>
  <c r="C67" i="1"/>
  <c r="D67" i="1" s="1"/>
  <c r="E67" i="1" s="1"/>
  <c r="B67" i="1"/>
  <c r="C66" i="1"/>
  <c r="D66" i="1" s="1"/>
  <c r="E66" i="1" s="1"/>
  <c r="B66" i="1"/>
  <c r="C65" i="1"/>
  <c r="D65" i="1" s="1"/>
  <c r="E65" i="1" s="1"/>
  <c r="B65" i="1"/>
  <c r="C64" i="1"/>
  <c r="D64" i="1" s="1"/>
  <c r="E64" i="1" s="1"/>
  <c r="B64" i="1"/>
  <c r="C63" i="1"/>
  <c r="D63" i="1" s="1"/>
  <c r="E63" i="1" s="1"/>
  <c r="B63" i="1"/>
  <c r="C62" i="1"/>
  <c r="D62" i="1" s="1"/>
  <c r="E62" i="1" s="1"/>
  <c r="B62" i="1"/>
  <c r="C61" i="1"/>
  <c r="D61" i="1" s="1"/>
  <c r="E61" i="1" s="1"/>
  <c r="B61" i="1"/>
  <c r="C60" i="1"/>
  <c r="D60" i="1" s="1"/>
  <c r="E60" i="1" s="1"/>
  <c r="B60" i="1"/>
  <c r="C59" i="1"/>
  <c r="D59" i="1" s="1"/>
  <c r="E59" i="1" s="1"/>
  <c r="B59" i="1"/>
  <c r="C58" i="1"/>
  <c r="D58" i="1" s="1"/>
  <c r="E58" i="1" s="1"/>
  <c r="B58" i="1"/>
  <c r="C57" i="1"/>
  <c r="D57" i="1" s="1"/>
  <c r="E57" i="1" s="1"/>
  <c r="B57" i="1"/>
  <c r="C56" i="1"/>
  <c r="D56" i="1" s="1"/>
  <c r="E56" i="1" s="1"/>
  <c r="B56" i="1"/>
  <c r="C55" i="1"/>
  <c r="D55" i="1" s="1"/>
  <c r="E55" i="1" s="1"/>
  <c r="B55" i="1"/>
  <c r="C54" i="1"/>
  <c r="D54" i="1" s="1"/>
  <c r="E54" i="1" s="1"/>
  <c r="B54" i="1"/>
  <c r="C53" i="1"/>
  <c r="D53" i="1" s="1"/>
  <c r="E53" i="1" s="1"/>
  <c r="B53" i="1"/>
  <c r="C52" i="1"/>
  <c r="D52" i="1" s="1"/>
  <c r="E52" i="1" s="1"/>
  <c r="B52" i="1"/>
  <c r="C51" i="1"/>
  <c r="D51" i="1" s="1"/>
  <c r="E51" i="1" s="1"/>
  <c r="B51" i="1"/>
  <c r="C50" i="1"/>
  <c r="D50" i="1" s="1"/>
  <c r="E50" i="1" s="1"/>
  <c r="B50" i="1"/>
  <c r="C49" i="1"/>
  <c r="D49" i="1" s="1"/>
  <c r="E49" i="1" s="1"/>
  <c r="B49" i="1"/>
  <c r="C48" i="1"/>
  <c r="D48" i="1" s="1"/>
  <c r="E48" i="1" s="1"/>
  <c r="B48" i="1"/>
  <c r="C47" i="1"/>
  <c r="D47" i="1" s="1"/>
  <c r="E47" i="1" s="1"/>
  <c r="B47" i="1"/>
  <c r="C46" i="1"/>
  <c r="D46" i="1" s="1"/>
  <c r="E46" i="1" s="1"/>
  <c r="B46" i="1"/>
  <c r="C45" i="1"/>
  <c r="D45" i="1" s="1"/>
  <c r="E45" i="1" s="1"/>
  <c r="B45" i="1"/>
  <c r="C44" i="1"/>
  <c r="D44" i="1" s="1"/>
  <c r="E44" i="1" s="1"/>
  <c r="B44" i="1"/>
  <c r="C43" i="1"/>
  <c r="D43" i="1" s="1"/>
  <c r="E43" i="1" s="1"/>
  <c r="B43" i="1"/>
  <c r="C42" i="1"/>
  <c r="D42" i="1" s="1"/>
  <c r="E42" i="1" s="1"/>
  <c r="B42" i="1"/>
  <c r="C41" i="1"/>
  <c r="D41" i="1" s="1"/>
  <c r="E41" i="1" s="1"/>
  <c r="B41" i="1"/>
  <c r="C40" i="1"/>
  <c r="D40" i="1" s="1"/>
  <c r="E40" i="1" s="1"/>
  <c r="B40" i="1"/>
  <c r="C39" i="1"/>
  <c r="D39" i="1" s="1"/>
  <c r="E39" i="1" s="1"/>
  <c r="B39" i="1"/>
  <c r="C38" i="1"/>
  <c r="D38" i="1" s="1"/>
  <c r="E38" i="1" s="1"/>
  <c r="B38" i="1"/>
  <c r="C37" i="1"/>
  <c r="D37" i="1" s="1"/>
  <c r="E37" i="1" s="1"/>
  <c r="B37" i="1"/>
  <c r="C36" i="1"/>
  <c r="D36" i="1" s="1"/>
  <c r="E36" i="1" s="1"/>
  <c r="B36" i="1"/>
  <c r="C35" i="1"/>
  <c r="D35" i="1" s="1"/>
  <c r="E35" i="1" s="1"/>
  <c r="B35" i="1"/>
  <c r="C34" i="1"/>
  <c r="D34" i="1" s="1"/>
  <c r="E34" i="1" s="1"/>
  <c r="B34" i="1"/>
  <c r="C33" i="1"/>
  <c r="D33" i="1" s="1"/>
  <c r="E33" i="1" s="1"/>
  <c r="B33" i="1"/>
  <c r="C32" i="1"/>
  <c r="D32" i="1" s="1"/>
  <c r="E32" i="1" s="1"/>
  <c r="B32" i="1"/>
  <c r="C31" i="1"/>
  <c r="D31" i="1" s="1"/>
  <c r="E31" i="1" s="1"/>
  <c r="B31" i="1"/>
  <c r="C30" i="1"/>
  <c r="D30" i="1" s="1"/>
  <c r="E30" i="1" s="1"/>
  <c r="B30" i="1"/>
  <c r="C29" i="1"/>
  <c r="D29" i="1" s="1"/>
  <c r="E29" i="1" s="1"/>
  <c r="B29" i="1"/>
  <c r="C28" i="1"/>
  <c r="D28" i="1" s="1"/>
  <c r="E28" i="1" s="1"/>
  <c r="B28" i="1"/>
  <c r="C27" i="1"/>
  <c r="D27" i="1" s="1"/>
  <c r="E27" i="1" s="1"/>
  <c r="B27" i="1"/>
  <c r="C26" i="1"/>
  <c r="D26" i="1" s="1"/>
  <c r="E26" i="1" s="1"/>
  <c r="B26" i="1"/>
  <c r="C25" i="1"/>
  <c r="D25" i="1" s="1"/>
  <c r="E25" i="1" s="1"/>
  <c r="B25" i="1"/>
  <c r="C24" i="1"/>
  <c r="D24" i="1" s="1"/>
  <c r="E24" i="1" s="1"/>
  <c r="B24" i="1"/>
  <c r="C23" i="1"/>
  <c r="D23" i="1" s="1"/>
  <c r="E23" i="1" s="1"/>
  <c r="B23" i="1"/>
  <c r="C22" i="1"/>
  <c r="D22" i="1" s="1"/>
  <c r="E22" i="1" s="1"/>
  <c r="C21" i="1"/>
  <c r="D21" i="1" s="1"/>
  <c r="E21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6" i="1"/>
  <c r="D16" i="1" s="1"/>
  <c r="E16" i="1" s="1"/>
  <c r="C15" i="1"/>
  <c r="D15" i="1" s="1"/>
  <c r="E15" i="1" s="1"/>
  <c r="C14" i="1"/>
  <c r="D14" i="1" s="1"/>
  <c r="E14" i="1" s="1"/>
  <c r="C13" i="1"/>
  <c r="D13" i="1" s="1"/>
  <c r="E13" i="1" s="1"/>
  <c r="C12" i="1"/>
  <c r="D12" i="1" s="1"/>
  <c r="E12" i="1" s="1"/>
  <c r="C11" i="1"/>
  <c r="D11" i="1" s="1"/>
  <c r="E11" i="1" s="1"/>
  <c r="C10" i="1"/>
  <c r="B11" i="1"/>
  <c r="B12" i="1"/>
  <c r="B13" i="1"/>
  <c r="B14" i="1"/>
  <c r="B15" i="1"/>
  <c r="B16" i="1"/>
  <c r="B17" i="1"/>
  <c r="B18" i="1"/>
  <c r="B19" i="1"/>
  <c r="B20" i="1"/>
  <c r="B21" i="1"/>
  <c r="B22" i="1"/>
  <c r="B10" i="1"/>
  <c r="B16" i="3"/>
  <c r="B15" i="3"/>
  <c r="B14" i="3"/>
  <c r="B13" i="3"/>
  <c r="B12" i="3"/>
  <c r="B11" i="3"/>
  <c r="B10" i="3"/>
  <c r="B9" i="3"/>
  <c r="B8" i="3"/>
  <c r="B7" i="3"/>
  <c r="A1" i="3"/>
  <c r="D128" i="4" l="1"/>
  <c r="E128" i="4" s="1"/>
  <c r="D17" i="4"/>
  <c r="E17" i="4" s="1"/>
  <c r="D33" i="4"/>
  <c r="E33" i="4" s="1"/>
  <c r="D49" i="4"/>
  <c r="E49" i="4" s="1"/>
  <c r="D65" i="4"/>
  <c r="E65" i="4" s="1"/>
  <c r="D81" i="4"/>
  <c r="E81" i="4" s="1"/>
  <c r="D97" i="4"/>
  <c r="E97" i="4" s="1"/>
  <c r="D113" i="4"/>
  <c r="E113" i="4" s="1"/>
  <c r="D129" i="4"/>
  <c r="E129" i="4" s="1"/>
  <c r="D145" i="4"/>
  <c r="E145" i="4" s="1"/>
  <c r="D161" i="4"/>
  <c r="E161" i="4" s="1"/>
  <c r="D177" i="4"/>
  <c r="E177" i="4" s="1"/>
  <c r="D16" i="4"/>
  <c r="E16" i="4" s="1"/>
  <c r="D176" i="4"/>
  <c r="E176" i="4" s="1"/>
  <c r="D18" i="4"/>
  <c r="E18" i="4" s="1"/>
  <c r="D34" i="4"/>
  <c r="E34" i="4" s="1"/>
  <c r="D50" i="4"/>
  <c r="E50" i="4" s="1"/>
  <c r="D66" i="4"/>
  <c r="E66" i="4" s="1"/>
  <c r="D82" i="4"/>
  <c r="E82" i="4" s="1"/>
  <c r="D98" i="4"/>
  <c r="E98" i="4" s="1"/>
  <c r="D114" i="4"/>
  <c r="E114" i="4" s="1"/>
  <c r="D130" i="4"/>
  <c r="E130" i="4" s="1"/>
  <c r="D146" i="4"/>
  <c r="E146" i="4" s="1"/>
  <c r="D162" i="4"/>
  <c r="E162" i="4" s="1"/>
  <c r="D178" i="4"/>
  <c r="E178" i="4" s="1"/>
  <c r="D160" i="4"/>
  <c r="E160" i="4" s="1"/>
  <c r="D19" i="4"/>
  <c r="E19" i="4" s="1"/>
  <c r="D35" i="4"/>
  <c r="E35" i="4" s="1"/>
  <c r="D51" i="4"/>
  <c r="E51" i="4" s="1"/>
  <c r="D67" i="4"/>
  <c r="E67" i="4" s="1"/>
  <c r="D83" i="4"/>
  <c r="E83" i="4" s="1"/>
  <c r="D99" i="4"/>
  <c r="E99" i="4" s="1"/>
  <c r="D115" i="4"/>
  <c r="E115" i="4" s="1"/>
  <c r="D131" i="4"/>
  <c r="E131" i="4" s="1"/>
  <c r="D147" i="4"/>
  <c r="E147" i="4" s="1"/>
  <c r="D163" i="4"/>
  <c r="E163" i="4" s="1"/>
  <c r="D179" i="4"/>
  <c r="E179" i="4" s="1"/>
  <c r="D144" i="4"/>
  <c r="E144" i="4" s="1"/>
  <c r="D20" i="4"/>
  <c r="E20" i="4" s="1"/>
  <c r="D36" i="4"/>
  <c r="E36" i="4" s="1"/>
  <c r="D52" i="4"/>
  <c r="E52" i="4" s="1"/>
  <c r="D68" i="4"/>
  <c r="E68" i="4" s="1"/>
  <c r="D84" i="4"/>
  <c r="E84" i="4" s="1"/>
  <c r="D100" i="4"/>
  <c r="E100" i="4" s="1"/>
  <c r="D116" i="4"/>
  <c r="E116" i="4" s="1"/>
  <c r="D132" i="4"/>
  <c r="E132" i="4" s="1"/>
  <c r="D148" i="4"/>
  <c r="E148" i="4" s="1"/>
  <c r="D164" i="4"/>
  <c r="E164" i="4" s="1"/>
  <c r="D180" i="4"/>
  <c r="E180" i="4" s="1"/>
  <c r="D21" i="4"/>
  <c r="E21" i="4" s="1"/>
  <c r="D37" i="4"/>
  <c r="E37" i="4" s="1"/>
  <c r="D53" i="4"/>
  <c r="E53" i="4" s="1"/>
  <c r="D69" i="4"/>
  <c r="E69" i="4" s="1"/>
  <c r="D85" i="4"/>
  <c r="E85" i="4" s="1"/>
  <c r="D101" i="4"/>
  <c r="E101" i="4" s="1"/>
  <c r="D117" i="4"/>
  <c r="E117" i="4" s="1"/>
  <c r="D133" i="4"/>
  <c r="E133" i="4" s="1"/>
  <c r="D149" i="4"/>
  <c r="E149" i="4" s="1"/>
  <c r="D165" i="4"/>
  <c r="E165" i="4" s="1"/>
  <c r="D181" i="4"/>
  <c r="E181" i="4" s="1"/>
  <c r="D112" i="4"/>
  <c r="E112" i="4" s="1"/>
  <c r="D22" i="4"/>
  <c r="E22" i="4" s="1"/>
  <c r="D38" i="4"/>
  <c r="E38" i="4" s="1"/>
  <c r="D54" i="4"/>
  <c r="E54" i="4" s="1"/>
  <c r="D70" i="4"/>
  <c r="E70" i="4" s="1"/>
  <c r="D86" i="4"/>
  <c r="E86" i="4" s="1"/>
  <c r="D102" i="4"/>
  <c r="E102" i="4" s="1"/>
  <c r="D118" i="4"/>
  <c r="E118" i="4" s="1"/>
  <c r="D134" i="4"/>
  <c r="E134" i="4" s="1"/>
  <c r="D150" i="4"/>
  <c r="E150" i="4" s="1"/>
  <c r="D166" i="4"/>
  <c r="E166" i="4" s="1"/>
  <c r="D182" i="4"/>
  <c r="E182" i="4" s="1"/>
  <c r="D64" i="4"/>
  <c r="E64" i="4" s="1"/>
  <c r="D23" i="4"/>
  <c r="E23" i="4" s="1"/>
  <c r="D39" i="4"/>
  <c r="E39" i="4" s="1"/>
  <c r="D55" i="4"/>
  <c r="E55" i="4" s="1"/>
  <c r="D71" i="4"/>
  <c r="E71" i="4" s="1"/>
  <c r="D87" i="4"/>
  <c r="E87" i="4" s="1"/>
  <c r="D103" i="4"/>
  <c r="E103" i="4" s="1"/>
  <c r="D119" i="4"/>
  <c r="E119" i="4" s="1"/>
  <c r="D135" i="4"/>
  <c r="E135" i="4" s="1"/>
  <c r="D151" i="4"/>
  <c r="E151" i="4" s="1"/>
  <c r="D167" i="4"/>
  <c r="E167" i="4" s="1"/>
  <c r="D183" i="4"/>
  <c r="E183" i="4" s="1"/>
  <c r="D24" i="4"/>
  <c r="E24" i="4" s="1"/>
  <c r="D40" i="4"/>
  <c r="E40" i="4" s="1"/>
  <c r="D56" i="4"/>
  <c r="E56" i="4" s="1"/>
  <c r="D72" i="4"/>
  <c r="E72" i="4" s="1"/>
  <c r="D88" i="4"/>
  <c r="E88" i="4" s="1"/>
  <c r="D104" i="4"/>
  <c r="E104" i="4" s="1"/>
  <c r="D120" i="4"/>
  <c r="E120" i="4" s="1"/>
  <c r="D136" i="4"/>
  <c r="E136" i="4" s="1"/>
  <c r="D152" i="4"/>
  <c r="E152" i="4" s="1"/>
  <c r="D168" i="4"/>
  <c r="E168" i="4" s="1"/>
  <c r="D184" i="4"/>
  <c r="E184" i="4" s="1"/>
  <c r="D25" i="4"/>
  <c r="E25" i="4" s="1"/>
  <c r="D41" i="4"/>
  <c r="E41" i="4" s="1"/>
  <c r="D57" i="4"/>
  <c r="E57" i="4" s="1"/>
  <c r="D73" i="4"/>
  <c r="E73" i="4" s="1"/>
  <c r="D89" i="4"/>
  <c r="E89" i="4" s="1"/>
  <c r="D105" i="4"/>
  <c r="E105" i="4" s="1"/>
  <c r="D121" i="4"/>
  <c r="E121" i="4" s="1"/>
  <c r="D137" i="4"/>
  <c r="E137" i="4" s="1"/>
  <c r="D153" i="4"/>
  <c r="E153" i="4" s="1"/>
  <c r="D169" i="4"/>
  <c r="E169" i="4" s="1"/>
  <c r="D185" i="4"/>
  <c r="E185" i="4" s="1"/>
  <c r="D26" i="4"/>
  <c r="E26" i="4" s="1"/>
  <c r="D42" i="4"/>
  <c r="E42" i="4" s="1"/>
  <c r="D58" i="4"/>
  <c r="E58" i="4" s="1"/>
  <c r="D74" i="4"/>
  <c r="E74" i="4" s="1"/>
  <c r="D90" i="4"/>
  <c r="E90" i="4" s="1"/>
  <c r="D106" i="4"/>
  <c r="E106" i="4" s="1"/>
  <c r="D122" i="4"/>
  <c r="E122" i="4" s="1"/>
  <c r="D138" i="4"/>
  <c r="E138" i="4" s="1"/>
  <c r="D154" i="4"/>
  <c r="E154" i="4" s="1"/>
  <c r="D170" i="4"/>
  <c r="E170" i="4" s="1"/>
  <c r="D186" i="4"/>
  <c r="E186" i="4" s="1"/>
  <c r="D48" i="4"/>
  <c r="E48" i="4" s="1"/>
  <c r="D11" i="4"/>
  <c r="E11" i="4" s="1"/>
  <c r="D27" i="4"/>
  <c r="E27" i="4" s="1"/>
  <c r="D43" i="4"/>
  <c r="E43" i="4" s="1"/>
  <c r="D59" i="4"/>
  <c r="E59" i="4" s="1"/>
  <c r="D75" i="4"/>
  <c r="E75" i="4" s="1"/>
  <c r="D91" i="4"/>
  <c r="E91" i="4" s="1"/>
  <c r="D107" i="4"/>
  <c r="E107" i="4" s="1"/>
  <c r="D123" i="4"/>
  <c r="E123" i="4" s="1"/>
  <c r="D139" i="4"/>
  <c r="E139" i="4" s="1"/>
  <c r="D155" i="4"/>
  <c r="E155" i="4" s="1"/>
  <c r="D171" i="4"/>
  <c r="E171" i="4" s="1"/>
  <c r="D187" i="4"/>
  <c r="E187" i="4" s="1"/>
  <c r="D80" i="4"/>
  <c r="E80" i="4" s="1"/>
  <c r="D12" i="4"/>
  <c r="E12" i="4" s="1"/>
  <c r="D28" i="4"/>
  <c r="E28" i="4" s="1"/>
  <c r="D44" i="4"/>
  <c r="E44" i="4" s="1"/>
  <c r="D60" i="4"/>
  <c r="E60" i="4" s="1"/>
  <c r="D76" i="4"/>
  <c r="E76" i="4" s="1"/>
  <c r="D92" i="4"/>
  <c r="E92" i="4" s="1"/>
  <c r="D108" i="4"/>
  <c r="E108" i="4" s="1"/>
  <c r="D124" i="4"/>
  <c r="E124" i="4" s="1"/>
  <c r="D140" i="4"/>
  <c r="E140" i="4" s="1"/>
  <c r="D156" i="4"/>
  <c r="E156" i="4" s="1"/>
  <c r="D172" i="4"/>
  <c r="E172" i="4" s="1"/>
  <c r="D188" i="4"/>
  <c r="E188" i="4" s="1"/>
  <c r="D13" i="4"/>
  <c r="E13" i="4" s="1"/>
  <c r="D29" i="4"/>
  <c r="E29" i="4" s="1"/>
  <c r="D45" i="4"/>
  <c r="E45" i="4" s="1"/>
  <c r="D61" i="4"/>
  <c r="E61" i="4" s="1"/>
  <c r="D77" i="4"/>
  <c r="E77" i="4" s="1"/>
  <c r="D93" i="4"/>
  <c r="E93" i="4" s="1"/>
  <c r="D109" i="4"/>
  <c r="E109" i="4" s="1"/>
  <c r="D125" i="4"/>
  <c r="E125" i="4" s="1"/>
  <c r="D141" i="4"/>
  <c r="E141" i="4" s="1"/>
  <c r="D157" i="4"/>
  <c r="E157" i="4" s="1"/>
  <c r="D173" i="4"/>
  <c r="E173" i="4" s="1"/>
  <c r="D189" i="4"/>
  <c r="E189" i="4" s="1"/>
  <c r="D96" i="4"/>
  <c r="E96" i="4" s="1"/>
  <c r="D14" i="4"/>
  <c r="E14" i="4" s="1"/>
  <c r="D30" i="4"/>
  <c r="E30" i="4" s="1"/>
  <c r="D46" i="4"/>
  <c r="E46" i="4" s="1"/>
  <c r="D62" i="4"/>
  <c r="E62" i="4" s="1"/>
  <c r="D78" i="4"/>
  <c r="E78" i="4" s="1"/>
  <c r="D94" i="4"/>
  <c r="E94" i="4" s="1"/>
  <c r="D110" i="4"/>
  <c r="E110" i="4" s="1"/>
  <c r="D126" i="4"/>
  <c r="E126" i="4" s="1"/>
  <c r="D142" i="4"/>
  <c r="E142" i="4" s="1"/>
  <c r="D158" i="4"/>
  <c r="E158" i="4" s="1"/>
  <c r="D174" i="4"/>
  <c r="E174" i="4" s="1"/>
  <c r="D190" i="4"/>
  <c r="E190" i="4" s="1"/>
  <c r="D32" i="4"/>
  <c r="E32" i="4" s="1"/>
  <c r="D15" i="4"/>
  <c r="E15" i="4" s="1"/>
  <c r="D31" i="4"/>
  <c r="E31" i="4" s="1"/>
  <c r="D47" i="4"/>
  <c r="E47" i="4" s="1"/>
  <c r="D63" i="4"/>
  <c r="E63" i="4" s="1"/>
  <c r="D79" i="4"/>
  <c r="E79" i="4" s="1"/>
  <c r="D95" i="4"/>
  <c r="E95" i="4" s="1"/>
  <c r="D111" i="4"/>
  <c r="E111" i="4" s="1"/>
  <c r="D127" i="4"/>
  <c r="E127" i="4" s="1"/>
  <c r="D143" i="4"/>
  <c r="E143" i="4" s="1"/>
  <c r="D159" i="4"/>
  <c r="E159" i="4" s="1"/>
  <c r="D175" i="4"/>
  <c r="E175" i="4" s="1"/>
  <c r="D191" i="4"/>
  <c r="E191" i="4" s="1"/>
  <c r="D10" i="4"/>
  <c r="E10" i="4" s="1"/>
  <c r="F10" i="4" s="1"/>
  <c r="H10" i="4" s="1"/>
  <c r="G11" i="4" s="1"/>
  <c r="D10" i="1"/>
  <c r="E10" i="1" s="1"/>
  <c r="F10" i="1" l="1"/>
  <c r="H10" i="1" s="1"/>
  <c r="G11" i="1" s="1"/>
  <c r="F11" i="4"/>
  <c r="H11" i="4" s="1"/>
  <c r="G12" i="4" s="1"/>
  <c r="F12" i="4" s="1"/>
  <c r="H12" i="4" s="1"/>
  <c r="G13" i="4" s="1"/>
  <c r="F13" i="4" l="1"/>
  <c r="H13" i="4" s="1"/>
  <c r="G14" i="4" s="1"/>
  <c r="F11" i="1"/>
  <c r="H11" i="1" s="1"/>
  <c r="G12" i="1" s="1"/>
  <c r="F14" i="4" l="1"/>
  <c r="H14" i="4" s="1"/>
  <c r="G15" i="4" s="1"/>
  <c r="F12" i="1"/>
  <c r="H12" i="1" s="1"/>
  <c r="G13" i="1" s="1"/>
  <c r="F15" i="4" l="1"/>
  <c r="H15" i="4" s="1"/>
  <c r="G16" i="4" s="1"/>
  <c r="F13" i="1"/>
  <c r="H13" i="1" s="1"/>
  <c r="G14" i="1" s="1"/>
  <c r="F16" i="4" l="1"/>
  <c r="H16" i="4" s="1"/>
  <c r="G17" i="4" s="1"/>
  <c r="F14" i="1"/>
  <c r="H14" i="1" s="1"/>
  <c r="G15" i="1" s="1"/>
  <c r="F17" i="4" l="1"/>
  <c r="H17" i="4" s="1"/>
  <c r="G18" i="4" s="1"/>
  <c r="F15" i="1"/>
  <c r="H15" i="1" s="1"/>
  <c r="G16" i="1" s="1"/>
  <c r="F16" i="1" s="1"/>
  <c r="F18" i="4" l="1"/>
  <c r="H18" i="4" s="1"/>
  <c r="G19" i="4" s="1"/>
  <c r="H16" i="1"/>
  <c r="G17" i="1" s="1"/>
  <c r="F17" i="1" s="1"/>
  <c r="H17" i="1" s="1"/>
  <c r="G18" i="1" s="1"/>
  <c r="F18" i="1" s="1"/>
  <c r="F19" i="4" l="1"/>
  <c r="H19" i="4" s="1"/>
  <c r="G20" i="4" s="1"/>
  <c r="H18" i="1"/>
  <c r="G19" i="1" s="1"/>
  <c r="F19" i="1" s="1"/>
  <c r="F20" i="4" l="1"/>
  <c r="H20" i="4" s="1"/>
  <c r="G21" i="4" s="1"/>
  <c r="H19" i="1"/>
  <c r="G20" i="1" s="1"/>
  <c r="F20" i="1" s="1"/>
  <c r="F21" i="4" l="1"/>
  <c r="H21" i="4" s="1"/>
  <c r="G22" i="4" s="1"/>
  <c r="H20" i="1"/>
  <c r="G21" i="1" s="1"/>
  <c r="F21" i="1" s="1"/>
  <c r="F22" i="4" l="1"/>
  <c r="H22" i="4" s="1"/>
  <c r="G23" i="4" s="1"/>
  <c r="H21" i="1"/>
  <c r="G22" i="1" s="1"/>
  <c r="F22" i="1" s="1"/>
  <c r="F23" i="4" l="1"/>
  <c r="H23" i="4" s="1"/>
  <c r="G24" i="4" s="1"/>
  <c r="H22" i="1"/>
  <c r="G23" i="1" s="1"/>
  <c r="F24" i="4" l="1"/>
  <c r="H24" i="4" s="1"/>
  <c r="G25" i="4" s="1"/>
  <c r="F23" i="1"/>
  <c r="H23" i="1" s="1"/>
  <c r="G24" i="1" s="1"/>
  <c r="F25" i="4" l="1"/>
  <c r="H25" i="4" s="1"/>
  <c r="G26" i="4" s="1"/>
  <c r="F24" i="1"/>
  <c r="H24" i="1" s="1"/>
  <c r="G25" i="1" s="1"/>
  <c r="F26" i="4" l="1"/>
  <c r="H26" i="4" s="1"/>
  <c r="G27" i="4" s="1"/>
  <c r="F25" i="1"/>
  <c r="H25" i="1" s="1"/>
  <c r="G26" i="1" s="1"/>
  <c r="F27" i="4" l="1"/>
  <c r="H27" i="4" s="1"/>
  <c r="G28" i="4" s="1"/>
  <c r="F26" i="1"/>
  <c r="H26" i="1" s="1"/>
  <c r="G27" i="1" s="1"/>
  <c r="F28" i="4" l="1"/>
  <c r="H28" i="4" s="1"/>
  <c r="G29" i="4" s="1"/>
  <c r="F27" i="1"/>
  <c r="H27" i="1" s="1"/>
  <c r="G28" i="1" s="1"/>
  <c r="F29" i="4" l="1"/>
  <c r="H29" i="4" s="1"/>
  <c r="G30" i="4" s="1"/>
  <c r="F28" i="1"/>
  <c r="H28" i="1" s="1"/>
  <c r="G29" i="1" s="1"/>
  <c r="F30" i="4" l="1"/>
  <c r="H30" i="4" s="1"/>
  <c r="G31" i="4" s="1"/>
  <c r="F29" i="1"/>
  <c r="H29" i="1" s="1"/>
  <c r="G30" i="1" s="1"/>
  <c r="F31" i="4" l="1"/>
  <c r="H31" i="4" s="1"/>
  <c r="G32" i="4" s="1"/>
  <c r="F30" i="1"/>
  <c r="H30" i="1" s="1"/>
  <c r="G31" i="1" s="1"/>
  <c r="F32" i="4" l="1"/>
  <c r="H32" i="4" s="1"/>
  <c r="G33" i="4" s="1"/>
  <c r="F31" i="1"/>
  <c r="H31" i="1" s="1"/>
  <c r="G32" i="1" s="1"/>
  <c r="F33" i="4" l="1"/>
  <c r="H33" i="4" s="1"/>
  <c r="G34" i="4" s="1"/>
  <c r="F32" i="1"/>
  <c r="H32" i="1" s="1"/>
  <c r="G33" i="1" s="1"/>
  <c r="F34" i="4" l="1"/>
  <c r="H34" i="4" s="1"/>
  <c r="G35" i="4" s="1"/>
  <c r="F33" i="1"/>
  <c r="H33" i="1" s="1"/>
  <c r="G34" i="1" s="1"/>
  <c r="F35" i="4" l="1"/>
  <c r="H35" i="4" s="1"/>
  <c r="G36" i="4" s="1"/>
  <c r="F34" i="1"/>
  <c r="H34" i="1" s="1"/>
  <c r="G35" i="1" s="1"/>
  <c r="F36" i="4" l="1"/>
  <c r="H36" i="4" s="1"/>
  <c r="G37" i="4" s="1"/>
  <c r="F35" i="1"/>
  <c r="H35" i="1" s="1"/>
  <c r="G36" i="1" s="1"/>
  <c r="F37" i="4" l="1"/>
  <c r="H37" i="4" s="1"/>
  <c r="G38" i="4" s="1"/>
  <c r="F36" i="1"/>
  <c r="H36" i="1" s="1"/>
  <c r="G37" i="1" s="1"/>
  <c r="F38" i="4" l="1"/>
  <c r="H38" i="4" s="1"/>
  <c r="G39" i="4" s="1"/>
  <c r="F37" i="1"/>
  <c r="H37" i="1" s="1"/>
  <c r="G38" i="1" s="1"/>
  <c r="F39" i="4" l="1"/>
  <c r="H39" i="4" s="1"/>
  <c r="G40" i="4" s="1"/>
  <c r="F38" i="1"/>
  <c r="H38" i="1" s="1"/>
  <c r="G39" i="1" s="1"/>
  <c r="F40" i="4" l="1"/>
  <c r="H40" i="4" s="1"/>
  <c r="G41" i="4" s="1"/>
  <c r="F39" i="1"/>
  <c r="H39" i="1" s="1"/>
  <c r="G40" i="1" s="1"/>
  <c r="F41" i="4" l="1"/>
  <c r="H41" i="4" s="1"/>
  <c r="G42" i="4" s="1"/>
  <c r="F40" i="1"/>
  <c r="H40" i="1" s="1"/>
  <c r="G41" i="1" s="1"/>
  <c r="F42" i="4" l="1"/>
  <c r="H42" i="4" s="1"/>
  <c r="G43" i="4" s="1"/>
  <c r="F41" i="1"/>
  <c r="H41" i="1" s="1"/>
  <c r="G42" i="1" s="1"/>
  <c r="F43" i="4" l="1"/>
  <c r="H43" i="4" s="1"/>
  <c r="G44" i="4" s="1"/>
  <c r="F42" i="1"/>
  <c r="H42" i="1" s="1"/>
  <c r="G43" i="1" s="1"/>
  <c r="F44" i="4" l="1"/>
  <c r="H44" i="4" s="1"/>
  <c r="G45" i="4" s="1"/>
  <c r="F43" i="1"/>
  <c r="H43" i="1" s="1"/>
  <c r="G44" i="1" s="1"/>
  <c r="F45" i="4" l="1"/>
  <c r="H45" i="4" s="1"/>
  <c r="G46" i="4" s="1"/>
  <c r="F44" i="1"/>
  <c r="H44" i="1" s="1"/>
  <c r="G45" i="1" s="1"/>
  <c r="F46" i="4" l="1"/>
  <c r="H46" i="4" s="1"/>
  <c r="G47" i="4" s="1"/>
  <c r="F45" i="1"/>
  <c r="H45" i="1" s="1"/>
  <c r="G46" i="1" s="1"/>
  <c r="F47" i="4" l="1"/>
  <c r="H47" i="4" s="1"/>
  <c r="G48" i="4" s="1"/>
  <c r="F46" i="1"/>
  <c r="H46" i="1" s="1"/>
  <c r="G47" i="1" s="1"/>
  <c r="F48" i="4" l="1"/>
  <c r="H48" i="4" s="1"/>
  <c r="G49" i="4" s="1"/>
  <c r="F47" i="1"/>
  <c r="H47" i="1" s="1"/>
  <c r="G48" i="1" s="1"/>
  <c r="F49" i="4" l="1"/>
  <c r="H49" i="4" s="1"/>
  <c r="G50" i="4" s="1"/>
  <c r="F48" i="1"/>
  <c r="H48" i="1" s="1"/>
  <c r="G49" i="1" s="1"/>
  <c r="F50" i="4" l="1"/>
  <c r="H50" i="4" s="1"/>
  <c r="G51" i="4" s="1"/>
  <c r="F49" i="1"/>
  <c r="H49" i="1" s="1"/>
  <c r="G50" i="1" s="1"/>
  <c r="F51" i="4" l="1"/>
  <c r="H51" i="4" s="1"/>
  <c r="G52" i="4" s="1"/>
  <c r="F50" i="1"/>
  <c r="H50" i="1" s="1"/>
  <c r="G51" i="1" s="1"/>
  <c r="F52" i="4" l="1"/>
  <c r="H52" i="4" s="1"/>
  <c r="G53" i="4" s="1"/>
  <c r="F51" i="1"/>
  <c r="H51" i="1" s="1"/>
  <c r="G52" i="1" s="1"/>
  <c r="F53" i="4" l="1"/>
  <c r="H53" i="4" s="1"/>
  <c r="G54" i="4" s="1"/>
  <c r="F52" i="1"/>
  <c r="H52" i="1" s="1"/>
  <c r="G53" i="1" s="1"/>
  <c r="F54" i="4" l="1"/>
  <c r="H54" i="4" s="1"/>
  <c r="G55" i="4" s="1"/>
  <c r="F53" i="1"/>
  <c r="H53" i="1" s="1"/>
  <c r="G54" i="1" s="1"/>
  <c r="F55" i="4" l="1"/>
  <c r="H55" i="4" s="1"/>
  <c r="G56" i="4" s="1"/>
  <c r="F54" i="1"/>
  <c r="H54" i="1" s="1"/>
  <c r="G55" i="1" s="1"/>
  <c r="F56" i="4" l="1"/>
  <c r="H56" i="4" s="1"/>
  <c r="G57" i="4" s="1"/>
  <c r="F55" i="1"/>
  <c r="H55" i="1" s="1"/>
  <c r="G56" i="1" s="1"/>
  <c r="F57" i="4" l="1"/>
  <c r="H57" i="4" s="1"/>
  <c r="G58" i="4" s="1"/>
  <c r="F56" i="1"/>
  <c r="H56" i="1" s="1"/>
  <c r="G57" i="1" s="1"/>
  <c r="F58" i="4" l="1"/>
  <c r="H58" i="4" s="1"/>
  <c r="G59" i="4" s="1"/>
  <c r="F57" i="1"/>
  <c r="H57" i="1" s="1"/>
  <c r="G58" i="1" s="1"/>
  <c r="F59" i="4" l="1"/>
  <c r="H59" i="4" s="1"/>
  <c r="G60" i="4" s="1"/>
  <c r="F58" i="1"/>
  <c r="H58" i="1" s="1"/>
  <c r="G59" i="1" s="1"/>
  <c r="F60" i="4" l="1"/>
  <c r="H60" i="4" s="1"/>
  <c r="G61" i="4" s="1"/>
  <c r="F59" i="1"/>
  <c r="H59" i="1" s="1"/>
  <c r="G60" i="1" s="1"/>
  <c r="F61" i="4" l="1"/>
  <c r="H61" i="4" s="1"/>
  <c r="G62" i="4" s="1"/>
  <c r="F60" i="1"/>
  <c r="H60" i="1" s="1"/>
  <c r="G61" i="1" s="1"/>
  <c r="F62" i="4" l="1"/>
  <c r="H62" i="4" s="1"/>
  <c r="G63" i="4" s="1"/>
  <c r="F61" i="1"/>
  <c r="H61" i="1" s="1"/>
  <c r="G62" i="1" s="1"/>
  <c r="F63" i="4" l="1"/>
  <c r="H63" i="4" s="1"/>
  <c r="G64" i="4" s="1"/>
  <c r="F62" i="1"/>
  <c r="H62" i="1" s="1"/>
  <c r="G63" i="1" s="1"/>
  <c r="F64" i="4" l="1"/>
  <c r="H64" i="4" s="1"/>
  <c r="G65" i="4" s="1"/>
  <c r="F63" i="1"/>
  <c r="H63" i="1" s="1"/>
  <c r="G64" i="1" s="1"/>
  <c r="F65" i="4" l="1"/>
  <c r="H65" i="4" s="1"/>
  <c r="G66" i="4" s="1"/>
  <c r="F64" i="1"/>
  <c r="H64" i="1" s="1"/>
  <c r="G65" i="1" s="1"/>
  <c r="F66" i="4" l="1"/>
  <c r="H66" i="4" s="1"/>
  <c r="G67" i="4" s="1"/>
  <c r="F65" i="1"/>
  <c r="H65" i="1" s="1"/>
  <c r="G66" i="1" s="1"/>
  <c r="F67" i="4" l="1"/>
  <c r="H67" i="4" s="1"/>
  <c r="G68" i="4" s="1"/>
  <c r="F66" i="1"/>
  <c r="H66" i="1" s="1"/>
  <c r="G67" i="1" s="1"/>
  <c r="F68" i="4" l="1"/>
  <c r="H68" i="4" s="1"/>
  <c r="G69" i="4" s="1"/>
  <c r="F67" i="1"/>
  <c r="H67" i="1" s="1"/>
  <c r="G68" i="1" s="1"/>
  <c r="F69" i="4" l="1"/>
  <c r="H69" i="4" s="1"/>
  <c r="G70" i="4" s="1"/>
  <c r="F68" i="1"/>
  <c r="H68" i="1" s="1"/>
  <c r="G69" i="1" s="1"/>
  <c r="F70" i="4" l="1"/>
  <c r="H70" i="4" s="1"/>
  <c r="G71" i="4" s="1"/>
  <c r="F69" i="1"/>
  <c r="H69" i="1" s="1"/>
  <c r="G70" i="1" s="1"/>
  <c r="F71" i="4" l="1"/>
  <c r="H71" i="4" s="1"/>
  <c r="G72" i="4" s="1"/>
  <c r="F70" i="1"/>
  <c r="H70" i="1" s="1"/>
  <c r="G71" i="1" s="1"/>
  <c r="F72" i="4" l="1"/>
  <c r="H72" i="4" s="1"/>
  <c r="G73" i="4" s="1"/>
  <c r="F71" i="1"/>
  <c r="H71" i="1" s="1"/>
  <c r="G72" i="1" s="1"/>
  <c r="F73" i="4" l="1"/>
  <c r="H73" i="4" s="1"/>
  <c r="G74" i="4" s="1"/>
  <c r="F72" i="1"/>
  <c r="H72" i="1" s="1"/>
  <c r="G73" i="1" s="1"/>
  <c r="F74" i="4" l="1"/>
  <c r="H74" i="4" s="1"/>
  <c r="G75" i="4" s="1"/>
  <c r="F73" i="1"/>
  <c r="H73" i="1" s="1"/>
  <c r="G74" i="1" s="1"/>
  <c r="F75" i="4" l="1"/>
  <c r="H75" i="4" s="1"/>
  <c r="G76" i="4" s="1"/>
  <c r="F74" i="1"/>
  <c r="H74" i="1" s="1"/>
  <c r="G75" i="1" s="1"/>
  <c r="F76" i="4" l="1"/>
  <c r="H76" i="4" s="1"/>
  <c r="G77" i="4" s="1"/>
  <c r="F75" i="1"/>
  <c r="H75" i="1" s="1"/>
  <c r="G76" i="1" s="1"/>
  <c r="F77" i="4" l="1"/>
  <c r="H77" i="4" s="1"/>
  <c r="G78" i="4" s="1"/>
  <c r="F76" i="1"/>
  <c r="H76" i="1" s="1"/>
  <c r="G77" i="1" s="1"/>
  <c r="F78" i="4" l="1"/>
  <c r="H78" i="4" s="1"/>
  <c r="G79" i="4" s="1"/>
  <c r="F77" i="1"/>
  <c r="H77" i="1" s="1"/>
  <c r="G78" i="1" s="1"/>
  <c r="F79" i="4" l="1"/>
  <c r="H79" i="4" s="1"/>
  <c r="G80" i="4" s="1"/>
  <c r="F78" i="1"/>
  <c r="H78" i="1" s="1"/>
  <c r="G79" i="1" s="1"/>
  <c r="F80" i="4" l="1"/>
  <c r="H80" i="4" s="1"/>
  <c r="G81" i="4" s="1"/>
  <c r="F79" i="1"/>
  <c r="H79" i="1" s="1"/>
  <c r="G80" i="1" s="1"/>
  <c r="F81" i="4" l="1"/>
  <c r="H81" i="4" s="1"/>
  <c r="G82" i="4" s="1"/>
  <c r="F80" i="1"/>
  <c r="H80" i="1" s="1"/>
  <c r="G81" i="1" s="1"/>
  <c r="F82" i="4" l="1"/>
  <c r="H82" i="4" s="1"/>
  <c r="G83" i="4" s="1"/>
  <c r="F81" i="1"/>
  <c r="H81" i="1" s="1"/>
  <c r="G82" i="1" s="1"/>
  <c r="F83" i="4" l="1"/>
  <c r="H83" i="4" s="1"/>
  <c r="G84" i="4" s="1"/>
  <c r="F82" i="1"/>
  <c r="H82" i="1" s="1"/>
  <c r="G83" i="1" s="1"/>
  <c r="F84" i="4" l="1"/>
  <c r="H84" i="4" s="1"/>
  <c r="G85" i="4" s="1"/>
  <c r="F83" i="1"/>
  <c r="H83" i="1" s="1"/>
  <c r="G84" i="1" s="1"/>
  <c r="F85" i="4" l="1"/>
  <c r="H85" i="4" s="1"/>
  <c r="G86" i="4" s="1"/>
  <c r="F84" i="1"/>
  <c r="H84" i="1" s="1"/>
  <c r="G85" i="1" s="1"/>
  <c r="F86" i="4" l="1"/>
  <c r="H86" i="4" s="1"/>
  <c r="G87" i="4" s="1"/>
  <c r="F85" i="1"/>
  <c r="H85" i="1" s="1"/>
  <c r="G86" i="1" s="1"/>
  <c r="F87" i="4" l="1"/>
  <c r="H87" i="4" s="1"/>
  <c r="G88" i="4" s="1"/>
  <c r="F86" i="1"/>
  <c r="H86" i="1" s="1"/>
  <c r="G87" i="1" s="1"/>
  <c r="F88" i="4" l="1"/>
  <c r="H88" i="4" s="1"/>
  <c r="G89" i="4" s="1"/>
  <c r="F87" i="1"/>
  <c r="H87" i="1" s="1"/>
  <c r="G88" i="1" s="1"/>
  <c r="F89" i="4" l="1"/>
  <c r="H89" i="4" s="1"/>
  <c r="G90" i="4" s="1"/>
  <c r="F88" i="1"/>
  <c r="H88" i="1" s="1"/>
  <c r="G89" i="1" s="1"/>
  <c r="F90" i="4" l="1"/>
  <c r="H90" i="4" s="1"/>
  <c r="G91" i="4" s="1"/>
  <c r="F89" i="1"/>
  <c r="H89" i="1" s="1"/>
  <c r="G90" i="1" s="1"/>
  <c r="F91" i="4" l="1"/>
  <c r="H91" i="4" s="1"/>
  <c r="G92" i="4" s="1"/>
  <c r="F90" i="1"/>
  <c r="H90" i="1" s="1"/>
  <c r="G91" i="1" s="1"/>
  <c r="F92" i="4" l="1"/>
  <c r="H92" i="4" s="1"/>
  <c r="G93" i="4" s="1"/>
  <c r="F91" i="1"/>
  <c r="H91" i="1" s="1"/>
  <c r="G92" i="1" s="1"/>
  <c r="F93" i="4" l="1"/>
  <c r="H93" i="4" s="1"/>
  <c r="G94" i="4" s="1"/>
  <c r="F92" i="1"/>
  <c r="H92" i="1" s="1"/>
  <c r="G93" i="1" s="1"/>
  <c r="F94" i="4" l="1"/>
  <c r="H94" i="4" s="1"/>
  <c r="G95" i="4" s="1"/>
  <c r="F93" i="1"/>
  <c r="H93" i="1" s="1"/>
  <c r="G94" i="1" s="1"/>
  <c r="F95" i="4" l="1"/>
  <c r="H95" i="4" s="1"/>
  <c r="G96" i="4" s="1"/>
  <c r="F94" i="1"/>
  <c r="H94" i="1" s="1"/>
  <c r="G95" i="1" s="1"/>
  <c r="F96" i="4" l="1"/>
  <c r="H96" i="4" s="1"/>
  <c r="G97" i="4" s="1"/>
  <c r="F95" i="1"/>
  <c r="H95" i="1" s="1"/>
  <c r="G96" i="1" s="1"/>
  <c r="F97" i="4" l="1"/>
  <c r="H97" i="4" s="1"/>
  <c r="G98" i="4" s="1"/>
  <c r="F96" i="1"/>
  <c r="H96" i="1" s="1"/>
  <c r="G97" i="1" s="1"/>
  <c r="F98" i="4" l="1"/>
  <c r="H98" i="4" s="1"/>
  <c r="G99" i="4" s="1"/>
  <c r="F97" i="1"/>
  <c r="H97" i="1" s="1"/>
  <c r="G98" i="1" s="1"/>
  <c r="F99" i="4" l="1"/>
  <c r="H99" i="4" s="1"/>
  <c r="G100" i="4" s="1"/>
  <c r="F98" i="1"/>
  <c r="H98" i="1" s="1"/>
  <c r="G99" i="1" s="1"/>
  <c r="F100" i="4" l="1"/>
  <c r="H100" i="4" s="1"/>
  <c r="G101" i="4" s="1"/>
  <c r="F99" i="1"/>
  <c r="H99" i="1" s="1"/>
  <c r="G100" i="1" s="1"/>
  <c r="F101" i="4" l="1"/>
  <c r="H101" i="4" s="1"/>
  <c r="G102" i="4" s="1"/>
  <c r="F100" i="1"/>
  <c r="H100" i="1" s="1"/>
  <c r="G101" i="1" s="1"/>
  <c r="F102" i="4" l="1"/>
  <c r="H102" i="4" s="1"/>
  <c r="G103" i="4" s="1"/>
  <c r="F101" i="1"/>
  <c r="H101" i="1" s="1"/>
  <c r="G102" i="1" s="1"/>
  <c r="F103" i="4" l="1"/>
  <c r="H103" i="4" s="1"/>
  <c r="G104" i="4" s="1"/>
  <c r="F102" i="1"/>
  <c r="H102" i="1" s="1"/>
  <c r="G103" i="1" s="1"/>
  <c r="F104" i="4" l="1"/>
  <c r="H104" i="4" s="1"/>
  <c r="G105" i="4" s="1"/>
  <c r="F103" i="1"/>
  <c r="H103" i="1" s="1"/>
  <c r="G104" i="1" s="1"/>
  <c r="F105" i="4" l="1"/>
  <c r="H105" i="4" s="1"/>
  <c r="G106" i="4" s="1"/>
  <c r="F104" i="1"/>
  <c r="H104" i="1" s="1"/>
  <c r="G105" i="1" s="1"/>
  <c r="F106" i="4" l="1"/>
  <c r="H106" i="4" s="1"/>
  <c r="G107" i="4" s="1"/>
  <c r="F105" i="1"/>
  <c r="H105" i="1" s="1"/>
  <c r="G106" i="1" s="1"/>
  <c r="F107" i="4" l="1"/>
  <c r="H107" i="4" s="1"/>
  <c r="G108" i="4" s="1"/>
  <c r="F106" i="1"/>
  <c r="H106" i="1" s="1"/>
  <c r="G107" i="1" s="1"/>
  <c r="F108" i="4" l="1"/>
  <c r="H108" i="4" s="1"/>
  <c r="G109" i="4" s="1"/>
  <c r="F107" i="1"/>
  <c r="H107" i="1" s="1"/>
  <c r="G108" i="1" s="1"/>
  <c r="F109" i="4" l="1"/>
  <c r="H109" i="4" s="1"/>
  <c r="G110" i="4" s="1"/>
  <c r="F108" i="1"/>
  <c r="H108" i="1" s="1"/>
  <c r="G109" i="1" s="1"/>
  <c r="F110" i="4" l="1"/>
  <c r="H110" i="4" s="1"/>
  <c r="G111" i="4" s="1"/>
  <c r="F109" i="1"/>
  <c r="H109" i="1" s="1"/>
  <c r="G110" i="1" s="1"/>
  <c r="F111" i="4" l="1"/>
  <c r="H111" i="4" s="1"/>
  <c r="G112" i="4" s="1"/>
  <c r="F110" i="1"/>
  <c r="H110" i="1" s="1"/>
  <c r="G111" i="1" s="1"/>
  <c r="F112" i="4" l="1"/>
  <c r="H112" i="4" s="1"/>
  <c r="G113" i="4" s="1"/>
  <c r="F111" i="1"/>
  <c r="H111" i="1" s="1"/>
  <c r="G112" i="1" s="1"/>
  <c r="F113" i="4" l="1"/>
  <c r="H113" i="4" s="1"/>
  <c r="G114" i="4" s="1"/>
  <c r="F112" i="1"/>
  <c r="H112" i="1" s="1"/>
  <c r="G113" i="1" s="1"/>
  <c r="F114" i="4" l="1"/>
  <c r="H114" i="4" s="1"/>
  <c r="G115" i="4" s="1"/>
  <c r="F113" i="1"/>
  <c r="H113" i="1" s="1"/>
  <c r="G114" i="1" s="1"/>
  <c r="F115" i="4" l="1"/>
  <c r="H115" i="4" s="1"/>
  <c r="G116" i="4" s="1"/>
  <c r="F114" i="1"/>
  <c r="H114" i="1" s="1"/>
  <c r="G115" i="1" s="1"/>
  <c r="F116" i="4" l="1"/>
  <c r="H116" i="4" s="1"/>
  <c r="G117" i="4" s="1"/>
  <c r="F115" i="1"/>
  <c r="H115" i="1" s="1"/>
  <c r="G116" i="1" s="1"/>
  <c r="F117" i="4" l="1"/>
  <c r="H117" i="4" s="1"/>
  <c r="G118" i="4" s="1"/>
  <c r="F116" i="1"/>
  <c r="H116" i="1" s="1"/>
  <c r="G117" i="1" s="1"/>
  <c r="F118" i="4" l="1"/>
  <c r="H118" i="4" s="1"/>
  <c r="G119" i="4" s="1"/>
  <c r="F117" i="1"/>
  <c r="H117" i="1" s="1"/>
  <c r="G118" i="1" s="1"/>
  <c r="F119" i="4" l="1"/>
  <c r="H119" i="4" s="1"/>
  <c r="G120" i="4" s="1"/>
  <c r="F118" i="1"/>
  <c r="H118" i="1" s="1"/>
  <c r="G119" i="1" s="1"/>
  <c r="F120" i="4" l="1"/>
  <c r="H120" i="4" s="1"/>
  <c r="G121" i="4" s="1"/>
  <c r="F119" i="1"/>
  <c r="H119" i="1" s="1"/>
  <c r="G120" i="1" s="1"/>
  <c r="F121" i="4" l="1"/>
  <c r="H121" i="4" s="1"/>
  <c r="G122" i="4" s="1"/>
  <c r="F120" i="1"/>
  <c r="H120" i="1" s="1"/>
  <c r="G121" i="1" s="1"/>
  <c r="F122" i="4" l="1"/>
  <c r="H122" i="4" s="1"/>
  <c r="G123" i="4" s="1"/>
  <c r="F121" i="1"/>
  <c r="H121" i="1" s="1"/>
  <c r="G122" i="1" s="1"/>
  <c r="F123" i="4" l="1"/>
  <c r="H123" i="4" s="1"/>
  <c r="G124" i="4" s="1"/>
  <c r="F122" i="1"/>
  <c r="H122" i="1" s="1"/>
  <c r="G123" i="1" s="1"/>
  <c r="F124" i="4" l="1"/>
  <c r="H124" i="4" s="1"/>
  <c r="G125" i="4" s="1"/>
  <c r="F123" i="1"/>
  <c r="H123" i="1" s="1"/>
  <c r="G124" i="1" s="1"/>
  <c r="F125" i="4" l="1"/>
  <c r="H125" i="4" s="1"/>
  <c r="G126" i="4" s="1"/>
  <c r="F124" i="1"/>
  <c r="H124" i="1" s="1"/>
  <c r="G125" i="1" s="1"/>
  <c r="F126" i="4" l="1"/>
  <c r="H126" i="4" s="1"/>
  <c r="G127" i="4" s="1"/>
  <c r="F125" i="1"/>
  <c r="H125" i="1" s="1"/>
  <c r="G126" i="1" s="1"/>
  <c r="F127" i="4" l="1"/>
  <c r="H127" i="4" s="1"/>
  <c r="G128" i="4" s="1"/>
  <c r="F126" i="1"/>
  <c r="H126" i="1" s="1"/>
  <c r="G127" i="1" s="1"/>
  <c r="F128" i="4" l="1"/>
  <c r="H128" i="4" s="1"/>
  <c r="G129" i="4" s="1"/>
  <c r="F127" i="1"/>
  <c r="H127" i="1" s="1"/>
  <c r="G128" i="1" s="1"/>
  <c r="F129" i="4" l="1"/>
  <c r="H129" i="4" s="1"/>
  <c r="G130" i="4" s="1"/>
  <c r="F128" i="1"/>
  <c r="H128" i="1" s="1"/>
  <c r="G129" i="1" s="1"/>
  <c r="F130" i="4" l="1"/>
  <c r="H130" i="4" s="1"/>
  <c r="G131" i="4" s="1"/>
  <c r="F129" i="1"/>
  <c r="H129" i="1" s="1"/>
  <c r="G130" i="1" s="1"/>
  <c r="F131" i="4" l="1"/>
  <c r="H131" i="4" s="1"/>
  <c r="G132" i="4" s="1"/>
  <c r="F130" i="1"/>
  <c r="H130" i="1" s="1"/>
  <c r="G131" i="1" s="1"/>
  <c r="F132" i="4" l="1"/>
  <c r="H132" i="4" s="1"/>
  <c r="G133" i="4" s="1"/>
  <c r="F131" i="1"/>
  <c r="H131" i="1" s="1"/>
  <c r="G132" i="1" s="1"/>
  <c r="F133" i="4" l="1"/>
  <c r="H133" i="4" s="1"/>
  <c r="G134" i="4" s="1"/>
  <c r="F132" i="1"/>
  <c r="H132" i="1" s="1"/>
  <c r="G133" i="1" s="1"/>
  <c r="F134" i="4" l="1"/>
  <c r="H134" i="4" s="1"/>
  <c r="G135" i="4" s="1"/>
  <c r="F133" i="1"/>
  <c r="H133" i="1" s="1"/>
  <c r="G134" i="1" s="1"/>
  <c r="F135" i="4" l="1"/>
  <c r="H135" i="4" s="1"/>
  <c r="G136" i="4" s="1"/>
  <c r="F134" i="1"/>
  <c r="H134" i="1" s="1"/>
  <c r="G135" i="1" s="1"/>
  <c r="F136" i="4" l="1"/>
  <c r="H136" i="4" s="1"/>
  <c r="G137" i="4" s="1"/>
  <c r="F135" i="1"/>
  <c r="H135" i="1" s="1"/>
  <c r="G136" i="1" s="1"/>
  <c r="F137" i="4" l="1"/>
  <c r="H137" i="4" s="1"/>
  <c r="G138" i="4" s="1"/>
  <c r="F136" i="1"/>
  <c r="H136" i="1" s="1"/>
  <c r="G137" i="1" s="1"/>
  <c r="F138" i="4" l="1"/>
  <c r="H138" i="4" s="1"/>
  <c r="G139" i="4" s="1"/>
  <c r="F137" i="1"/>
  <c r="H137" i="1" s="1"/>
  <c r="G138" i="1" s="1"/>
  <c r="F139" i="4" l="1"/>
  <c r="H139" i="4" s="1"/>
  <c r="G140" i="4" s="1"/>
  <c r="F138" i="1"/>
  <c r="H138" i="1" s="1"/>
  <c r="G139" i="1" s="1"/>
  <c r="F140" i="4" l="1"/>
  <c r="H140" i="4" s="1"/>
  <c r="G141" i="4" s="1"/>
  <c r="F139" i="1"/>
  <c r="H139" i="1" s="1"/>
  <c r="G140" i="1" s="1"/>
  <c r="F141" i="4" l="1"/>
  <c r="H141" i="4" s="1"/>
  <c r="G142" i="4" s="1"/>
  <c r="F140" i="1"/>
  <c r="H140" i="1" s="1"/>
  <c r="G141" i="1" s="1"/>
  <c r="F142" i="4" l="1"/>
  <c r="H142" i="4" s="1"/>
  <c r="G143" i="4" s="1"/>
  <c r="F141" i="1"/>
  <c r="H141" i="1" s="1"/>
  <c r="G142" i="1" s="1"/>
  <c r="F143" i="4" l="1"/>
  <c r="H143" i="4" s="1"/>
  <c r="G144" i="4" s="1"/>
  <c r="F142" i="1"/>
  <c r="H142" i="1" s="1"/>
  <c r="G143" i="1" s="1"/>
  <c r="F144" i="4" l="1"/>
  <c r="H144" i="4" s="1"/>
  <c r="G145" i="4" s="1"/>
  <c r="F143" i="1"/>
  <c r="H143" i="1" s="1"/>
  <c r="G144" i="1" s="1"/>
  <c r="F145" i="4" l="1"/>
  <c r="H145" i="4" s="1"/>
  <c r="G146" i="4" s="1"/>
  <c r="F144" i="1"/>
  <c r="H144" i="1" s="1"/>
  <c r="G145" i="1" s="1"/>
  <c r="F146" i="4" l="1"/>
  <c r="H146" i="4" s="1"/>
  <c r="G147" i="4" s="1"/>
  <c r="F145" i="1"/>
  <c r="H145" i="1" s="1"/>
  <c r="G146" i="1" s="1"/>
  <c r="F147" i="4" l="1"/>
  <c r="H147" i="4" s="1"/>
  <c r="G148" i="4" s="1"/>
  <c r="F146" i="1"/>
  <c r="H146" i="1" s="1"/>
  <c r="G147" i="1" s="1"/>
  <c r="F148" i="4" l="1"/>
  <c r="H148" i="4" s="1"/>
  <c r="G149" i="4" s="1"/>
  <c r="F147" i="1"/>
  <c r="H147" i="1" s="1"/>
  <c r="G148" i="1" s="1"/>
  <c r="F149" i="4" l="1"/>
  <c r="H149" i="4" s="1"/>
  <c r="G150" i="4" s="1"/>
  <c r="F148" i="1"/>
  <c r="H148" i="1" s="1"/>
  <c r="G149" i="1" s="1"/>
  <c r="F150" i="4" l="1"/>
  <c r="H150" i="4" s="1"/>
  <c r="G151" i="4" s="1"/>
  <c r="F149" i="1"/>
  <c r="H149" i="1" s="1"/>
  <c r="G150" i="1" s="1"/>
  <c r="F151" i="4" l="1"/>
  <c r="H151" i="4" s="1"/>
  <c r="G152" i="4" s="1"/>
  <c r="F150" i="1"/>
  <c r="H150" i="1" s="1"/>
  <c r="G151" i="1" s="1"/>
  <c r="F152" i="4" l="1"/>
  <c r="H152" i="4" s="1"/>
  <c r="G153" i="4" s="1"/>
  <c r="F151" i="1"/>
  <c r="H151" i="1" s="1"/>
  <c r="G152" i="1" s="1"/>
  <c r="F153" i="4" l="1"/>
  <c r="H153" i="4" s="1"/>
  <c r="G154" i="4" s="1"/>
  <c r="F152" i="1"/>
  <c r="H152" i="1" s="1"/>
  <c r="G153" i="1" s="1"/>
  <c r="F154" i="4" l="1"/>
  <c r="H154" i="4" s="1"/>
  <c r="G155" i="4" s="1"/>
  <c r="F153" i="1"/>
  <c r="H153" i="1" s="1"/>
  <c r="G154" i="1" s="1"/>
  <c r="F155" i="4" l="1"/>
  <c r="H155" i="4" s="1"/>
  <c r="G156" i="4" s="1"/>
  <c r="F154" i="1"/>
  <c r="H154" i="1" s="1"/>
  <c r="G155" i="1" s="1"/>
  <c r="F156" i="4" l="1"/>
  <c r="H156" i="4" s="1"/>
  <c r="G157" i="4" s="1"/>
  <c r="F155" i="1"/>
  <c r="H155" i="1" s="1"/>
  <c r="G156" i="1" s="1"/>
  <c r="F157" i="4" l="1"/>
  <c r="H157" i="4" s="1"/>
  <c r="G158" i="4" s="1"/>
  <c r="F156" i="1"/>
  <c r="H156" i="1" s="1"/>
  <c r="G157" i="1" s="1"/>
  <c r="F158" i="4" l="1"/>
  <c r="H158" i="4" s="1"/>
  <c r="G159" i="4" s="1"/>
  <c r="F157" i="1"/>
  <c r="H157" i="1" s="1"/>
  <c r="G158" i="1" s="1"/>
  <c r="F159" i="4" l="1"/>
  <c r="H159" i="4" s="1"/>
  <c r="G160" i="4" s="1"/>
  <c r="F158" i="1"/>
  <c r="H158" i="1" s="1"/>
  <c r="G159" i="1" s="1"/>
  <c r="F160" i="4" l="1"/>
  <c r="H160" i="4" s="1"/>
  <c r="G161" i="4" s="1"/>
  <c r="F159" i="1"/>
  <c r="H159" i="1" s="1"/>
  <c r="G160" i="1" s="1"/>
  <c r="F161" i="4" l="1"/>
  <c r="H161" i="4" s="1"/>
  <c r="G162" i="4" s="1"/>
  <c r="F160" i="1"/>
  <c r="H160" i="1" s="1"/>
  <c r="G161" i="1" s="1"/>
  <c r="F162" i="4" l="1"/>
  <c r="H162" i="4" s="1"/>
  <c r="G163" i="4" s="1"/>
  <c r="F161" i="1"/>
  <c r="H161" i="1" s="1"/>
  <c r="G162" i="1" s="1"/>
  <c r="F163" i="4" l="1"/>
  <c r="H163" i="4" s="1"/>
  <c r="G164" i="4" s="1"/>
  <c r="F162" i="1"/>
  <c r="H162" i="1" s="1"/>
  <c r="G163" i="1" s="1"/>
  <c r="F164" i="4" l="1"/>
  <c r="H164" i="4" s="1"/>
  <c r="G165" i="4" s="1"/>
  <c r="F163" i="1"/>
  <c r="H163" i="1" s="1"/>
  <c r="G164" i="1" s="1"/>
  <c r="F165" i="4" l="1"/>
  <c r="H165" i="4" s="1"/>
  <c r="G166" i="4" s="1"/>
  <c r="F164" i="1"/>
  <c r="H164" i="1" s="1"/>
  <c r="G165" i="1" s="1"/>
  <c r="F166" i="4" l="1"/>
  <c r="H166" i="4" s="1"/>
  <c r="G167" i="4" s="1"/>
  <c r="F165" i="1"/>
  <c r="H165" i="1" s="1"/>
  <c r="G166" i="1" s="1"/>
  <c r="F167" i="4" l="1"/>
  <c r="H167" i="4" s="1"/>
  <c r="G168" i="4" s="1"/>
  <c r="F166" i="1"/>
  <c r="H166" i="1" s="1"/>
  <c r="G167" i="1" s="1"/>
  <c r="F168" i="4" l="1"/>
  <c r="H168" i="4" s="1"/>
  <c r="G169" i="4" s="1"/>
  <c r="F167" i="1"/>
  <c r="H167" i="1" s="1"/>
  <c r="G168" i="1" s="1"/>
  <c r="F169" i="4" l="1"/>
  <c r="H169" i="4" s="1"/>
  <c r="G170" i="4" s="1"/>
  <c r="F168" i="1"/>
  <c r="H168" i="1" s="1"/>
  <c r="G169" i="1" s="1"/>
  <c r="F170" i="4" l="1"/>
  <c r="H170" i="4" s="1"/>
  <c r="G171" i="4" s="1"/>
  <c r="F169" i="1"/>
  <c r="H169" i="1" s="1"/>
  <c r="G170" i="1" s="1"/>
  <c r="F171" i="4" l="1"/>
  <c r="H171" i="4" s="1"/>
  <c r="G172" i="4" s="1"/>
  <c r="F170" i="1"/>
  <c r="H170" i="1" s="1"/>
  <c r="G171" i="1" s="1"/>
  <c r="F172" i="4" l="1"/>
  <c r="H172" i="4" s="1"/>
  <c r="G173" i="4" s="1"/>
  <c r="F171" i="1"/>
  <c r="H171" i="1" s="1"/>
  <c r="G172" i="1" s="1"/>
  <c r="F173" i="4" l="1"/>
  <c r="H173" i="4" s="1"/>
  <c r="G174" i="4" s="1"/>
  <c r="F172" i="1"/>
  <c r="H172" i="1" s="1"/>
  <c r="G173" i="1" s="1"/>
  <c r="F174" i="4" l="1"/>
  <c r="H174" i="4" s="1"/>
  <c r="G175" i="4" s="1"/>
  <c r="F173" i="1"/>
  <c r="H173" i="1" s="1"/>
  <c r="G174" i="1" s="1"/>
  <c r="F175" i="4" l="1"/>
  <c r="H175" i="4" s="1"/>
  <c r="G176" i="4" s="1"/>
  <c r="F174" i="1"/>
  <c r="H174" i="1" s="1"/>
  <c r="G175" i="1" s="1"/>
  <c r="F176" i="4" l="1"/>
  <c r="H176" i="4" s="1"/>
  <c r="G177" i="4" s="1"/>
  <c r="F175" i="1"/>
  <c r="H175" i="1" s="1"/>
  <c r="G176" i="1" s="1"/>
  <c r="F177" i="4" l="1"/>
  <c r="H177" i="4" s="1"/>
  <c r="G178" i="4" s="1"/>
  <c r="F176" i="1"/>
  <c r="H176" i="1" s="1"/>
  <c r="G177" i="1" s="1"/>
  <c r="F178" i="4" l="1"/>
  <c r="H178" i="4" s="1"/>
  <c r="G179" i="4" s="1"/>
  <c r="F177" i="1"/>
  <c r="H177" i="1" s="1"/>
  <c r="G178" i="1" s="1"/>
  <c r="F179" i="4" l="1"/>
  <c r="H179" i="4" s="1"/>
  <c r="G180" i="4" s="1"/>
  <c r="F178" i="1"/>
  <c r="H178" i="1" s="1"/>
  <c r="G179" i="1" s="1"/>
  <c r="F180" i="4" l="1"/>
  <c r="H180" i="4" s="1"/>
  <c r="G181" i="4" s="1"/>
  <c r="F179" i="1"/>
  <c r="H179" i="1" s="1"/>
  <c r="G180" i="1" s="1"/>
  <c r="F181" i="4" l="1"/>
  <c r="H181" i="4" s="1"/>
  <c r="G182" i="4" s="1"/>
  <c r="F180" i="1"/>
  <c r="H180" i="1" s="1"/>
  <c r="G181" i="1" s="1"/>
  <c r="F182" i="4" l="1"/>
  <c r="H182" i="4" s="1"/>
  <c r="G183" i="4" s="1"/>
  <c r="F181" i="1"/>
  <c r="H181" i="1" s="1"/>
  <c r="G182" i="1" s="1"/>
  <c r="F183" i="4" l="1"/>
  <c r="H183" i="4" s="1"/>
  <c r="G184" i="4" s="1"/>
  <c r="F182" i="1"/>
  <c r="H182" i="1" s="1"/>
  <c r="G183" i="1" s="1"/>
  <c r="F184" i="4" l="1"/>
  <c r="H184" i="4" s="1"/>
  <c r="G185" i="4" s="1"/>
  <c r="F183" i="1"/>
  <c r="H183" i="1" s="1"/>
  <c r="G184" i="1" s="1"/>
  <c r="F185" i="4" l="1"/>
  <c r="H185" i="4" s="1"/>
  <c r="G186" i="4" s="1"/>
  <c r="F184" i="1"/>
  <c r="H184" i="1" s="1"/>
  <c r="G185" i="1" s="1"/>
  <c r="F186" i="4" l="1"/>
  <c r="H186" i="4" s="1"/>
  <c r="G187" i="4" s="1"/>
  <c r="F185" i="1"/>
  <c r="H185" i="1" s="1"/>
  <c r="G186" i="1" s="1"/>
  <c r="F187" i="4" l="1"/>
  <c r="H187" i="4" s="1"/>
  <c r="G188" i="4" s="1"/>
  <c r="F186" i="1"/>
  <c r="H186" i="1" s="1"/>
  <c r="G187" i="1" s="1"/>
  <c r="F188" i="4" l="1"/>
  <c r="H188" i="4" s="1"/>
  <c r="G189" i="4" s="1"/>
  <c r="F187" i="1"/>
  <c r="H187" i="1" s="1"/>
  <c r="G188" i="1" s="1"/>
  <c r="F189" i="4" l="1"/>
  <c r="H189" i="4" s="1"/>
  <c r="G190" i="4" s="1"/>
  <c r="F188" i="1"/>
  <c r="H188" i="1" s="1"/>
  <c r="G189" i="1" s="1"/>
  <c r="F190" i="4" l="1"/>
  <c r="H190" i="4" s="1"/>
  <c r="G191" i="4" s="1"/>
  <c r="F189" i="1"/>
  <c r="H189" i="1" s="1"/>
  <c r="G190" i="1" s="1"/>
  <c r="F191" i="4" l="1"/>
  <c r="H191" i="4" s="1"/>
  <c r="F190" i="1"/>
  <c r="H190" i="1" s="1"/>
  <c r="G191" i="1" s="1"/>
  <c r="F191" i="1" l="1"/>
  <c r="H191" i="1" s="1"/>
</calcChain>
</file>

<file path=xl/sharedStrings.xml><?xml version="1.0" encoding="utf-8"?>
<sst xmlns="http://schemas.openxmlformats.org/spreadsheetml/2006/main" count="29" uniqueCount="15">
  <si>
    <t>Volatility Number</t>
  </si>
  <si>
    <t>Random Number</t>
  </si>
  <si>
    <t>DayNo</t>
  </si>
  <si>
    <t>Date</t>
  </si>
  <si>
    <t>RAND</t>
  </si>
  <si>
    <t>Change Percent</t>
  </si>
  <si>
    <t>Multiplier</t>
  </si>
  <si>
    <t>Change Amount</t>
  </si>
  <si>
    <t>New Price</t>
  </si>
  <si>
    <t>Old Price</t>
  </si>
  <si>
    <t>Change Percent (step1)</t>
  </si>
  <si>
    <t>https://stackoverflow.com/questions/8597731/are-there-known-techniques-to-generate-realistic-looking-fake-stock-data</t>
  </si>
  <si>
    <t># Stable, 2, Large Swings, 10</t>
  </si>
  <si>
    <t>Seed</t>
  </si>
  <si>
    <t>Random 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</si>
</sst>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6"/>
          <c:tx>
            <c:strRef>
              <c:f>Data!$H$9</c:f>
              <c:strCache>
                <c:ptCount val="1"/>
                <c:pt idx="0">
                  <c:v>New Price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Data!$H$10:$H$191</c:f>
              <c:numCache>
                <c:formatCode>General</c:formatCode>
                <c:ptCount val="182"/>
                <c:pt idx="0">
                  <c:v>53.8</c:v>
                </c:pt>
                <c:pt idx="1">
                  <c:v>54.983599999999996</c:v>
                </c:pt>
                <c:pt idx="2">
                  <c:v>50.474944799999996</c:v>
                </c:pt>
                <c:pt idx="3">
                  <c:v>47.547398001599994</c:v>
                </c:pt>
                <c:pt idx="4">
                  <c:v>44.599459325500796</c:v>
                </c:pt>
                <c:pt idx="5">
                  <c:v>41.566696091366744</c:v>
                </c:pt>
                <c:pt idx="6">
                  <c:v>44.975165170858816</c:v>
                </c:pt>
                <c:pt idx="7">
                  <c:v>47.943526072135498</c:v>
                </c:pt>
                <c:pt idx="8">
                  <c:v>52.737878679349045</c:v>
                </c:pt>
                <c:pt idx="9">
                  <c:v>47.99146959820763</c:v>
                </c:pt>
                <c:pt idx="10">
                  <c:v>45.68787905749366</c:v>
                </c:pt>
                <c:pt idx="11">
                  <c:v>49.617036656438117</c:v>
                </c:pt>
                <c:pt idx="12">
                  <c:v>53.884101808891792</c:v>
                </c:pt>
                <c:pt idx="13">
                  <c:v>51.836505940153906</c:v>
                </c:pt>
                <c:pt idx="14">
                  <c:v>52.14752497579483</c:v>
                </c:pt>
                <c:pt idx="15">
                  <c:v>51.417459626133706</c:v>
                </c:pt>
                <c:pt idx="16">
                  <c:v>53.782662768935857</c:v>
                </c:pt>
                <c:pt idx="17">
                  <c:v>50.017876375110347</c:v>
                </c:pt>
                <c:pt idx="18">
                  <c:v>48.817447342107698</c:v>
                </c:pt>
                <c:pt idx="19">
                  <c:v>46.571844764370745</c:v>
                </c:pt>
                <c:pt idx="20">
                  <c:v>48.714149623531796</c:v>
                </c:pt>
                <c:pt idx="21">
                  <c:v>50.078145812990684</c:v>
                </c:pt>
                <c:pt idx="22">
                  <c:v>52.982678270144142</c:v>
                </c:pt>
                <c:pt idx="23">
                  <c:v>52.982678270144142</c:v>
                </c:pt>
                <c:pt idx="24">
                  <c:v>54.466193261708177</c:v>
                </c:pt>
                <c:pt idx="25">
                  <c:v>55.119787580848673</c:v>
                </c:pt>
                <c:pt idx="26">
                  <c:v>50.930683724704174</c:v>
                </c:pt>
                <c:pt idx="27">
                  <c:v>48.486010905918377</c:v>
                </c:pt>
                <c:pt idx="28">
                  <c:v>49.358759102224909</c:v>
                </c:pt>
                <c:pt idx="29">
                  <c:v>53.110024793994</c:v>
                </c:pt>
                <c:pt idx="30">
                  <c:v>50.560743603882287</c:v>
                </c:pt>
                <c:pt idx="31">
                  <c:v>51.875322937583228</c:v>
                </c:pt>
                <c:pt idx="32">
                  <c:v>47.932798394326902</c:v>
                </c:pt>
                <c:pt idx="33">
                  <c:v>50.71290070119786</c:v>
                </c:pt>
                <c:pt idx="34">
                  <c:v>51.930010318026611</c:v>
                </c:pt>
                <c:pt idx="35">
                  <c:v>51.410710214846347</c:v>
                </c:pt>
                <c:pt idx="36">
                  <c:v>48.942996124533721</c:v>
                </c:pt>
                <c:pt idx="37">
                  <c:v>50.313400016020665</c:v>
                </c:pt>
                <c:pt idx="38">
                  <c:v>49.609012415796379</c:v>
                </c:pt>
                <c:pt idx="39">
                  <c:v>53.97460550838646</c:v>
                </c:pt>
                <c:pt idx="40">
                  <c:v>57.428980260923197</c:v>
                </c:pt>
                <c:pt idx="41">
                  <c:v>60.530145195013048</c:v>
                </c:pt>
                <c:pt idx="42">
                  <c:v>55.324552708241924</c:v>
                </c:pt>
                <c:pt idx="43">
                  <c:v>51.673132229497959</c:v>
                </c:pt>
                <c:pt idx="44">
                  <c:v>53.326672460841891</c:v>
                </c:pt>
                <c:pt idx="45">
                  <c:v>54.393205910058732</c:v>
                </c:pt>
                <c:pt idx="46">
                  <c:v>51.564759202735679</c:v>
                </c:pt>
                <c:pt idx="47">
                  <c:v>51.358500165924738</c:v>
                </c:pt>
                <c:pt idx="48">
                  <c:v>55.569897179530564</c:v>
                </c:pt>
                <c:pt idx="49">
                  <c:v>51.124305405168116</c:v>
                </c:pt>
                <c:pt idx="50">
                  <c:v>56.134487334874592</c:v>
                </c:pt>
                <c:pt idx="51">
                  <c:v>54.225914765488852</c:v>
                </c:pt>
                <c:pt idx="52">
                  <c:v>52.056878174869297</c:v>
                </c:pt>
                <c:pt idx="53">
                  <c:v>49.558148022475571</c:v>
                </c:pt>
                <c:pt idx="54">
                  <c:v>46.584659141127034</c:v>
                </c:pt>
                <c:pt idx="55">
                  <c:v>49.845585281005924</c:v>
                </c:pt>
                <c:pt idx="56">
                  <c:v>50.942188157188056</c:v>
                </c:pt>
                <c:pt idx="57">
                  <c:v>51.247841286131184</c:v>
                </c:pt>
                <c:pt idx="58">
                  <c:v>50.222884460408558</c:v>
                </c:pt>
                <c:pt idx="59">
                  <c:v>45.501933321130153</c:v>
                </c:pt>
                <c:pt idx="60">
                  <c:v>44.31888305478077</c:v>
                </c:pt>
                <c:pt idx="61">
                  <c:v>43.166592095356471</c:v>
                </c:pt>
                <c:pt idx="62">
                  <c:v>43.857257568882176</c:v>
                </c:pt>
                <c:pt idx="63">
                  <c:v>48.155268810632627</c:v>
                </c:pt>
                <c:pt idx="64">
                  <c:v>44.784399993888343</c:v>
                </c:pt>
                <c:pt idx="65">
                  <c:v>43.530436794059469</c:v>
                </c:pt>
                <c:pt idx="66">
                  <c:v>42.224523690237682</c:v>
                </c:pt>
                <c:pt idx="67">
                  <c:v>39.015459889779621</c:v>
                </c:pt>
                <c:pt idx="68">
                  <c:v>36.830594135951962</c:v>
                </c:pt>
                <c:pt idx="69">
                  <c:v>36.977916512495767</c:v>
                </c:pt>
                <c:pt idx="70">
                  <c:v>34.093639024521096</c:v>
                </c:pt>
                <c:pt idx="71">
                  <c:v>35.184635473305768</c:v>
                </c:pt>
                <c:pt idx="72">
                  <c:v>33.566142241533704</c:v>
                </c:pt>
                <c:pt idx="73">
                  <c:v>30.343792586346467</c:v>
                </c:pt>
                <c:pt idx="74">
                  <c:v>33.317484259808424</c:v>
                </c:pt>
                <c:pt idx="75">
                  <c:v>35.982883000593098</c:v>
                </c:pt>
                <c:pt idx="76">
                  <c:v>39.365274002648846</c:v>
                </c:pt>
                <c:pt idx="77">
                  <c:v>41.412268250786589</c:v>
                </c:pt>
                <c:pt idx="78">
                  <c:v>40.087075666761422</c:v>
                </c:pt>
                <c:pt idx="79">
                  <c:v>40.087075666761422</c:v>
                </c:pt>
                <c:pt idx="80">
                  <c:v>42.011255298765967</c:v>
                </c:pt>
                <c:pt idx="81">
                  <c:v>38.986444917254815</c:v>
                </c:pt>
                <c:pt idx="82">
                  <c:v>40.467929824110499</c:v>
                </c:pt>
                <c:pt idx="83">
                  <c:v>43.381620771446457</c:v>
                </c:pt>
                <c:pt idx="84">
                  <c:v>39.477274902016276</c:v>
                </c:pt>
                <c:pt idx="85">
                  <c:v>38.529820304367888</c:v>
                </c:pt>
                <c:pt idx="86">
                  <c:v>34.90801719575731</c:v>
                </c:pt>
                <c:pt idx="87">
                  <c:v>35.745809608455488</c:v>
                </c:pt>
                <c:pt idx="88">
                  <c:v>32.88614483977905</c:v>
                </c:pt>
                <c:pt idx="89">
                  <c:v>35.253947268243138</c:v>
                </c:pt>
                <c:pt idx="90">
                  <c:v>35.535978846389085</c:v>
                </c:pt>
                <c:pt idx="91">
                  <c:v>38.307785196407437</c:v>
                </c:pt>
                <c:pt idx="92">
                  <c:v>38.231169626014619</c:v>
                </c:pt>
                <c:pt idx="93">
                  <c:v>35.478525412941565</c:v>
                </c:pt>
                <c:pt idx="94">
                  <c:v>34.697997853856847</c:v>
                </c:pt>
                <c:pt idx="95">
                  <c:v>35.322561815226273</c:v>
                </c:pt>
                <c:pt idx="96">
                  <c:v>36.452883793313511</c:v>
                </c:pt>
                <c:pt idx="97">
                  <c:v>33.026312716742041</c:v>
                </c:pt>
                <c:pt idx="98">
                  <c:v>30.252102448535709</c:v>
                </c:pt>
                <c:pt idx="99">
                  <c:v>28.739497326108925</c:v>
                </c:pt>
                <c:pt idx="100">
                  <c:v>29.314287272631102</c:v>
                </c:pt>
                <c:pt idx="101">
                  <c:v>31.600801679896328</c:v>
                </c:pt>
                <c:pt idx="102">
                  <c:v>32.043212903414876</c:v>
                </c:pt>
                <c:pt idx="103">
                  <c:v>34.734842787301723</c:v>
                </c:pt>
                <c:pt idx="104">
                  <c:v>34.318024673854104</c:v>
                </c:pt>
                <c:pt idx="105">
                  <c:v>36.926194549067013</c:v>
                </c:pt>
                <c:pt idx="106">
                  <c:v>39.141766222011036</c:v>
                </c:pt>
                <c:pt idx="107">
                  <c:v>37.576095573130594</c:v>
                </c:pt>
                <c:pt idx="108">
                  <c:v>38.553074058031989</c:v>
                </c:pt>
                <c:pt idx="109">
                  <c:v>38.475967909915923</c:v>
                </c:pt>
                <c:pt idx="110">
                  <c:v>40.784525984510879</c:v>
                </c:pt>
                <c:pt idx="111">
                  <c:v>38.663730633316312</c:v>
                </c:pt>
                <c:pt idx="112">
                  <c:v>38.663730633316312</c:v>
                </c:pt>
                <c:pt idx="113">
                  <c:v>37.117181407983658</c:v>
                </c:pt>
                <c:pt idx="114">
                  <c:v>35.40979106321641</c:v>
                </c:pt>
                <c:pt idx="115">
                  <c:v>33.356023181549858</c:v>
                </c:pt>
                <c:pt idx="116">
                  <c:v>34.289991830633255</c:v>
                </c:pt>
                <c:pt idx="117">
                  <c:v>35.18153161822972</c:v>
                </c:pt>
                <c:pt idx="118">
                  <c:v>35.040805491756799</c:v>
                </c:pt>
                <c:pt idx="119">
                  <c:v>34.129744548971125</c:v>
                </c:pt>
                <c:pt idx="120">
                  <c:v>35.494934330929972</c:v>
                </c:pt>
                <c:pt idx="121">
                  <c:v>38.334529077404369</c:v>
                </c:pt>
                <c:pt idx="122">
                  <c:v>42.167981985144806</c:v>
                </c:pt>
                <c:pt idx="123">
                  <c:v>42.420989877055675</c:v>
                </c:pt>
                <c:pt idx="124">
                  <c:v>41.657412059268673</c:v>
                </c:pt>
                <c:pt idx="125">
                  <c:v>43.073764069283804</c:v>
                </c:pt>
                <c:pt idx="126">
                  <c:v>42.729173956729532</c:v>
                </c:pt>
                <c:pt idx="127">
                  <c:v>42.301882217162238</c:v>
                </c:pt>
                <c:pt idx="128">
                  <c:v>39.509957990829527</c:v>
                </c:pt>
                <c:pt idx="129">
                  <c:v>43.223894041967505</c:v>
                </c:pt>
                <c:pt idx="130">
                  <c:v>45.730879896401618</c:v>
                </c:pt>
                <c:pt idx="131">
                  <c:v>48.749117969564125</c:v>
                </c:pt>
                <c:pt idx="132">
                  <c:v>51.089075632103203</c:v>
                </c:pt>
                <c:pt idx="133">
                  <c:v>46.388880673949707</c:v>
                </c:pt>
                <c:pt idx="134">
                  <c:v>48.151658139559792</c:v>
                </c:pt>
                <c:pt idx="135">
                  <c:v>50.270331097700421</c:v>
                </c:pt>
                <c:pt idx="136">
                  <c:v>51.376278381849829</c:v>
                </c:pt>
                <c:pt idx="137">
                  <c:v>52.609309063014223</c:v>
                </c:pt>
                <c:pt idx="138">
                  <c:v>48.926657428603228</c:v>
                </c:pt>
                <c:pt idx="139">
                  <c:v>53.819323171463552</c:v>
                </c:pt>
                <c:pt idx="140">
                  <c:v>57.048482561751364</c:v>
                </c:pt>
                <c:pt idx="141">
                  <c:v>53.16918574755227</c:v>
                </c:pt>
                <c:pt idx="142">
                  <c:v>51.255095060640386</c:v>
                </c:pt>
                <c:pt idx="143">
                  <c:v>54.945461905006496</c:v>
                </c:pt>
                <c:pt idx="144">
                  <c:v>58.132298695496871</c:v>
                </c:pt>
                <c:pt idx="145">
                  <c:v>62.085295006790659</c:v>
                </c:pt>
                <c:pt idx="146">
                  <c:v>59.229371436478289</c:v>
                </c:pt>
                <c:pt idx="147">
                  <c:v>59.466288922224201</c:v>
                </c:pt>
                <c:pt idx="148">
                  <c:v>63.391063991091002</c:v>
                </c:pt>
                <c:pt idx="149">
                  <c:v>61.235767815393906</c:v>
                </c:pt>
                <c:pt idx="150">
                  <c:v>60.500938601609178</c:v>
                </c:pt>
                <c:pt idx="151">
                  <c:v>64.251996794908948</c:v>
                </c:pt>
                <c:pt idx="152">
                  <c:v>65.023020756447849</c:v>
                </c:pt>
                <c:pt idx="153">
                  <c:v>70.48495449998947</c:v>
                </c:pt>
                <c:pt idx="154">
                  <c:v>70.203014681989515</c:v>
                </c:pt>
                <c:pt idx="155">
                  <c:v>73.432353357361038</c:v>
                </c:pt>
                <c:pt idx="156">
                  <c:v>70.93565334321076</c:v>
                </c:pt>
                <c:pt idx="157">
                  <c:v>76.894248224040467</c:v>
                </c:pt>
                <c:pt idx="158">
                  <c:v>84.42988454999643</c:v>
                </c:pt>
                <c:pt idx="159">
                  <c:v>90.339976468496175</c:v>
                </c:pt>
                <c:pt idx="160">
                  <c:v>96.121734962479934</c:v>
                </c:pt>
                <c:pt idx="161">
                  <c:v>94.776030673005209</c:v>
                </c:pt>
                <c:pt idx="162">
                  <c:v>93.259614182237129</c:v>
                </c:pt>
                <c:pt idx="163">
                  <c:v>100.34734486008715</c:v>
                </c:pt>
                <c:pt idx="164">
                  <c:v>93.523725409601226</c:v>
                </c:pt>
                <c:pt idx="165">
                  <c:v>86.415922278471527</c:v>
                </c:pt>
                <c:pt idx="166">
                  <c:v>82.613621698218779</c:v>
                </c:pt>
                <c:pt idx="167">
                  <c:v>86.413848296336838</c:v>
                </c:pt>
                <c:pt idx="168">
                  <c:v>85.031226723595452</c:v>
                </c:pt>
                <c:pt idx="169">
                  <c:v>83.330602189123539</c:v>
                </c:pt>
                <c:pt idx="170">
                  <c:v>91.163678794901145</c:v>
                </c:pt>
                <c:pt idx="171">
                  <c:v>98.639100456083042</c:v>
                </c:pt>
                <c:pt idx="172">
                  <c:v>100.80916066611687</c:v>
                </c:pt>
                <c:pt idx="173">
                  <c:v>91.736336206166357</c:v>
                </c:pt>
                <c:pt idx="174">
                  <c:v>89.351191464806035</c:v>
                </c:pt>
                <c:pt idx="175">
                  <c:v>83.454012828128839</c:v>
                </c:pt>
                <c:pt idx="176">
                  <c:v>85.456909136003929</c:v>
                </c:pt>
                <c:pt idx="177">
                  <c:v>84.602340044643896</c:v>
                </c:pt>
                <c:pt idx="178">
                  <c:v>85.617568125179616</c:v>
                </c:pt>
                <c:pt idx="179">
                  <c:v>93.151914120195428</c:v>
                </c:pt>
                <c:pt idx="180">
                  <c:v>95.946471543801295</c:v>
                </c:pt>
                <c:pt idx="181">
                  <c:v>103.6221892673054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CF-45AA-BE73-95B8E78BF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9472400"/>
        <c:axId val="8894728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Data!$B$9</c15:sqref>
                        </c15:formulaRef>
                      </c:ext>
                    </c:extLst>
                    <c:strCache>
                      <c:ptCount val="1"/>
                      <c:pt idx="0">
                        <c:v>DayNo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Data!$B$10:$B$191</c15:sqref>
                        </c15:formulaRef>
                      </c:ext>
                    </c:extLst>
                    <c:numCache>
                      <c:formatCode>0</c:formatCode>
                      <c:ptCount val="18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6CF-45AA-BE73-95B8E78BF7F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Data!$C$9</c15:sqref>
                        </c15:formulaRef>
                      </c:ext>
                    </c:extLst>
                    <c:strCache>
                      <c:ptCount val="1"/>
                      <c:pt idx="0">
                        <c:v>RAND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Data!$C$10:$C$191</c15:sqref>
                        </c15:formulaRef>
                      </c:ext>
                    </c:extLst>
                    <c:numCache>
                      <c:formatCode>General</c:formatCode>
                      <c:ptCount val="182"/>
                      <c:pt idx="0">
                        <c:v>0.38</c:v>
                      </c:pt>
                      <c:pt idx="1">
                        <c:v>0.11</c:v>
                      </c:pt>
                      <c:pt idx="2">
                        <c:v>0.59</c:v>
                      </c:pt>
                      <c:pt idx="3">
                        <c:v>0.71</c:v>
                      </c:pt>
                      <c:pt idx="4">
                        <c:v>0.69</c:v>
                      </c:pt>
                      <c:pt idx="5">
                        <c:v>0.66</c:v>
                      </c:pt>
                      <c:pt idx="6">
                        <c:v>0.41</c:v>
                      </c:pt>
                      <c:pt idx="7">
                        <c:v>0.33</c:v>
                      </c:pt>
                      <c:pt idx="8">
                        <c:v>0.5</c:v>
                      </c:pt>
                      <c:pt idx="9">
                        <c:v>0.55000000000000004</c:v>
                      </c:pt>
                      <c:pt idx="10">
                        <c:v>0.76</c:v>
                      </c:pt>
                      <c:pt idx="11">
                        <c:v>0.43</c:v>
                      </c:pt>
                      <c:pt idx="12">
                        <c:v>0.43</c:v>
                      </c:pt>
                      <c:pt idx="13">
                        <c:v>0.81</c:v>
                      </c:pt>
                      <c:pt idx="14">
                        <c:v>0.03</c:v>
                      </c:pt>
                      <c:pt idx="15">
                        <c:v>0.93</c:v>
                      </c:pt>
                      <c:pt idx="16">
                        <c:v>0.23</c:v>
                      </c:pt>
                      <c:pt idx="17">
                        <c:v>0.65</c:v>
                      </c:pt>
                      <c:pt idx="18">
                        <c:v>0.88</c:v>
                      </c:pt>
                      <c:pt idx="19">
                        <c:v>0.77</c:v>
                      </c:pt>
                      <c:pt idx="20">
                        <c:v>0.23</c:v>
                      </c:pt>
                      <c:pt idx="21">
                        <c:v>0.14000000000000001</c:v>
                      </c:pt>
                      <c:pt idx="22">
                        <c:v>0.28999999999999998</c:v>
                      </c:pt>
                      <c:pt idx="23">
                        <c:v>0</c:v>
                      </c:pt>
                      <c:pt idx="24">
                        <c:v>0.14000000000000001</c:v>
                      </c:pt>
                      <c:pt idx="25">
                        <c:v>0.06</c:v>
                      </c:pt>
                      <c:pt idx="26">
                        <c:v>0.62</c:v>
                      </c:pt>
                      <c:pt idx="27">
                        <c:v>0.76</c:v>
                      </c:pt>
                      <c:pt idx="28">
                        <c:v>0.09</c:v>
                      </c:pt>
                      <c:pt idx="29">
                        <c:v>0.38</c:v>
                      </c:pt>
                      <c:pt idx="30">
                        <c:v>0.76</c:v>
                      </c:pt>
                      <c:pt idx="31">
                        <c:v>0.13</c:v>
                      </c:pt>
                      <c:pt idx="32">
                        <c:v>0.62</c:v>
                      </c:pt>
                      <c:pt idx="33">
                        <c:v>0.28999999999999998</c:v>
                      </c:pt>
                      <c:pt idx="34">
                        <c:v>0.12</c:v>
                      </c:pt>
                      <c:pt idx="35">
                        <c:v>0.95</c:v>
                      </c:pt>
                      <c:pt idx="36">
                        <c:v>0.76</c:v>
                      </c:pt>
                      <c:pt idx="37">
                        <c:v>0.14000000000000001</c:v>
                      </c:pt>
                      <c:pt idx="38">
                        <c:v>0.93</c:v>
                      </c:pt>
                      <c:pt idx="39">
                        <c:v>0.44</c:v>
                      </c:pt>
                      <c:pt idx="40">
                        <c:v>0.32</c:v>
                      </c:pt>
                      <c:pt idx="41">
                        <c:v>0.27</c:v>
                      </c:pt>
                      <c:pt idx="42">
                        <c:v>0.56999999999999995</c:v>
                      </c:pt>
                      <c:pt idx="43">
                        <c:v>0.67</c:v>
                      </c:pt>
                      <c:pt idx="44">
                        <c:v>0.16</c:v>
                      </c:pt>
                      <c:pt idx="45">
                        <c:v>0.1</c:v>
                      </c:pt>
                      <c:pt idx="46">
                        <c:v>0.74</c:v>
                      </c:pt>
                      <c:pt idx="47">
                        <c:v>0.98</c:v>
                      </c:pt>
                      <c:pt idx="48">
                        <c:v>0.41</c:v>
                      </c:pt>
                      <c:pt idx="49">
                        <c:v>0.6</c:v>
                      </c:pt>
                      <c:pt idx="50">
                        <c:v>0.49</c:v>
                      </c:pt>
                      <c:pt idx="51">
                        <c:v>0.83</c:v>
                      </c:pt>
                      <c:pt idx="52">
                        <c:v>0.8</c:v>
                      </c:pt>
                      <c:pt idx="53">
                        <c:v>0.76</c:v>
                      </c:pt>
                      <c:pt idx="54">
                        <c:v>0.7</c:v>
                      </c:pt>
                      <c:pt idx="55">
                        <c:v>0.35</c:v>
                      </c:pt>
                      <c:pt idx="56">
                        <c:v>0.11</c:v>
                      </c:pt>
                      <c:pt idx="57">
                        <c:v>0.03</c:v>
                      </c:pt>
                      <c:pt idx="58">
                        <c:v>0.9</c:v>
                      </c:pt>
                      <c:pt idx="59">
                        <c:v>0.53</c:v>
                      </c:pt>
                      <c:pt idx="60">
                        <c:v>0.87</c:v>
                      </c:pt>
                      <c:pt idx="61">
                        <c:v>0.87</c:v>
                      </c:pt>
                      <c:pt idx="62">
                        <c:v>0.08</c:v>
                      </c:pt>
                      <c:pt idx="63">
                        <c:v>0.49</c:v>
                      </c:pt>
                      <c:pt idx="64">
                        <c:v>0.65</c:v>
                      </c:pt>
                      <c:pt idx="65">
                        <c:v>0.86</c:v>
                      </c:pt>
                      <c:pt idx="66">
                        <c:v>0.85</c:v>
                      </c:pt>
                      <c:pt idx="67">
                        <c:v>0.62</c:v>
                      </c:pt>
                      <c:pt idx="68">
                        <c:v>0.72</c:v>
                      </c:pt>
                      <c:pt idx="69">
                        <c:v>0.02</c:v>
                      </c:pt>
                      <c:pt idx="70">
                        <c:v>0.61</c:v>
                      </c:pt>
                      <c:pt idx="71">
                        <c:v>0.16</c:v>
                      </c:pt>
                      <c:pt idx="72">
                        <c:v>0.77</c:v>
                      </c:pt>
                      <c:pt idx="73">
                        <c:v>0.52</c:v>
                      </c:pt>
                      <c:pt idx="74">
                        <c:v>0.49</c:v>
                      </c:pt>
                      <c:pt idx="75">
                        <c:v>0.4</c:v>
                      </c:pt>
                      <c:pt idx="76">
                        <c:v>0.47</c:v>
                      </c:pt>
                      <c:pt idx="77">
                        <c:v>0.26</c:v>
                      </c:pt>
                      <c:pt idx="78">
                        <c:v>0.84</c:v>
                      </c:pt>
                      <c:pt idx="79">
                        <c:v>1</c:v>
                      </c:pt>
                      <c:pt idx="80">
                        <c:v>0.24</c:v>
                      </c:pt>
                      <c:pt idx="81">
                        <c:v>0.64</c:v>
                      </c:pt>
                      <c:pt idx="82">
                        <c:v>0.19</c:v>
                      </c:pt>
                      <c:pt idx="83">
                        <c:v>0.36</c:v>
                      </c:pt>
                      <c:pt idx="84">
                        <c:v>0.55000000000000004</c:v>
                      </c:pt>
                      <c:pt idx="85">
                        <c:v>0.88</c:v>
                      </c:pt>
                      <c:pt idx="86">
                        <c:v>0.53</c:v>
                      </c:pt>
                      <c:pt idx="87">
                        <c:v>0.12</c:v>
                      </c:pt>
                      <c:pt idx="88">
                        <c:v>0.6</c:v>
                      </c:pt>
                      <c:pt idx="89">
                        <c:v>0.36</c:v>
                      </c:pt>
                      <c:pt idx="90">
                        <c:v>0.04</c:v>
                      </c:pt>
                      <c:pt idx="91">
                        <c:v>0.39</c:v>
                      </c:pt>
                      <c:pt idx="92">
                        <c:v>0.99</c:v>
                      </c:pt>
                      <c:pt idx="93">
                        <c:v>0.64</c:v>
                      </c:pt>
                      <c:pt idx="94">
                        <c:v>0.89</c:v>
                      </c:pt>
                      <c:pt idx="95">
                        <c:v>0.09</c:v>
                      </c:pt>
                      <c:pt idx="96">
                        <c:v>0.16</c:v>
                      </c:pt>
                      <c:pt idx="97">
                        <c:v>0.53</c:v>
                      </c:pt>
                      <c:pt idx="98">
                        <c:v>0.57999999999999996</c:v>
                      </c:pt>
                      <c:pt idx="99">
                        <c:v>0.75</c:v>
                      </c:pt>
                      <c:pt idx="100">
                        <c:v>0.1</c:v>
                      </c:pt>
                      <c:pt idx="101">
                        <c:v>0.39</c:v>
                      </c:pt>
                      <c:pt idx="102">
                        <c:v>7.0000000000000007E-2</c:v>
                      </c:pt>
                      <c:pt idx="103">
                        <c:v>0.42</c:v>
                      </c:pt>
                      <c:pt idx="104">
                        <c:v>0.94</c:v>
                      </c:pt>
                      <c:pt idx="105">
                        <c:v>0.38</c:v>
                      </c:pt>
                      <c:pt idx="106">
                        <c:v>0.3</c:v>
                      </c:pt>
                      <c:pt idx="107">
                        <c:v>0.8</c:v>
                      </c:pt>
                      <c:pt idx="108">
                        <c:v>0.13</c:v>
                      </c:pt>
                      <c:pt idx="109">
                        <c:v>0.99</c:v>
                      </c:pt>
                      <c:pt idx="110">
                        <c:v>0.3</c:v>
                      </c:pt>
                      <c:pt idx="111">
                        <c:v>0.74</c:v>
                      </c:pt>
                      <c:pt idx="112">
                        <c:v>1</c:v>
                      </c:pt>
                      <c:pt idx="113">
                        <c:v>0.8</c:v>
                      </c:pt>
                      <c:pt idx="114">
                        <c:v>0.77</c:v>
                      </c:pt>
                      <c:pt idx="115">
                        <c:v>0.71</c:v>
                      </c:pt>
                      <c:pt idx="116">
                        <c:v>0.14000000000000001</c:v>
                      </c:pt>
                      <c:pt idx="117">
                        <c:v>0.13</c:v>
                      </c:pt>
                      <c:pt idx="118">
                        <c:v>0.98</c:v>
                      </c:pt>
                      <c:pt idx="119">
                        <c:v>0.87</c:v>
                      </c:pt>
                      <c:pt idx="120">
                        <c:v>0.2</c:v>
                      </c:pt>
                      <c:pt idx="121">
                        <c:v>0.4</c:v>
                      </c:pt>
                      <c:pt idx="122">
                        <c:v>0.5</c:v>
                      </c:pt>
                      <c:pt idx="123">
                        <c:v>0.03</c:v>
                      </c:pt>
                      <c:pt idx="124">
                        <c:v>0.91</c:v>
                      </c:pt>
                      <c:pt idx="125">
                        <c:v>0.17</c:v>
                      </c:pt>
                      <c:pt idx="126">
                        <c:v>0.96</c:v>
                      </c:pt>
                      <c:pt idx="127">
                        <c:v>0.95</c:v>
                      </c:pt>
                      <c:pt idx="128">
                        <c:v>0.67</c:v>
                      </c:pt>
                      <c:pt idx="129">
                        <c:v>0.47</c:v>
                      </c:pt>
                      <c:pt idx="130">
                        <c:v>0.28999999999999998</c:v>
                      </c:pt>
                      <c:pt idx="131">
                        <c:v>0.33</c:v>
                      </c:pt>
                      <c:pt idx="132">
                        <c:v>0.24</c:v>
                      </c:pt>
                      <c:pt idx="133">
                        <c:v>0.54</c:v>
                      </c:pt>
                      <c:pt idx="134">
                        <c:v>0.19</c:v>
                      </c:pt>
                      <c:pt idx="135">
                        <c:v>0.22</c:v>
                      </c:pt>
                      <c:pt idx="136">
                        <c:v>0.11</c:v>
                      </c:pt>
                      <c:pt idx="137">
                        <c:v>0.12</c:v>
                      </c:pt>
                      <c:pt idx="138">
                        <c:v>0.65</c:v>
                      </c:pt>
                      <c:pt idx="139">
                        <c:v>0.5</c:v>
                      </c:pt>
                      <c:pt idx="140">
                        <c:v>0.3</c:v>
                      </c:pt>
                      <c:pt idx="141">
                        <c:v>0.66</c:v>
                      </c:pt>
                      <c:pt idx="142">
                        <c:v>0.82</c:v>
                      </c:pt>
                      <c:pt idx="143">
                        <c:v>0.36</c:v>
                      </c:pt>
                      <c:pt idx="144">
                        <c:v>0.28999999999999998</c:v>
                      </c:pt>
                      <c:pt idx="145">
                        <c:v>0.34</c:v>
                      </c:pt>
                      <c:pt idx="146">
                        <c:v>0.77</c:v>
                      </c:pt>
                      <c:pt idx="147">
                        <c:v>0.02</c:v>
                      </c:pt>
                      <c:pt idx="148">
                        <c:v>0.33</c:v>
                      </c:pt>
                      <c:pt idx="149">
                        <c:v>0.83</c:v>
                      </c:pt>
                      <c:pt idx="150">
                        <c:v>0.94</c:v>
                      </c:pt>
                      <c:pt idx="151">
                        <c:v>0.31</c:v>
                      </c:pt>
                      <c:pt idx="152">
                        <c:v>0.06</c:v>
                      </c:pt>
                      <c:pt idx="153">
                        <c:v>0.42</c:v>
                      </c:pt>
                      <c:pt idx="154">
                        <c:v>0.98</c:v>
                      </c:pt>
                      <c:pt idx="155">
                        <c:v>0.23</c:v>
                      </c:pt>
                      <c:pt idx="156">
                        <c:v>0.83</c:v>
                      </c:pt>
                      <c:pt idx="157">
                        <c:v>0.42</c:v>
                      </c:pt>
                      <c:pt idx="158">
                        <c:v>0.49</c:v>
                      </c:pt>
                      <c:pt idx="159">
                        <c:v>0.35</c:v>
                      </c:pt>
                      <c:pt idx="160">
                        <c:v>0.32</c:v>
                      </c:pt>
                      <c:pt idx="161">
                        <c:v>0.93</c:v>
                      </c:pt>
                      <c:pt idx="162">
                        <c:v>0.92</c:v>
                      </c:pt>
                      <c:pt idx="163">
                        <c:v>0.38</c:v>
                      </c:pt>
                      <c:pt idx="164">
                        <c:v>0.66</c:v>
                      </c:pt>
                      <c:pt idx="165">
                        <c:v>0.62</c:v>
                      </c:pt>
                      <c:pt idx="166">
                        <c:v>0.78</c:v>
                      </c:pt>
                      <c:pt idx="167">
                        <c:v>0.23</c:v>
                      </c:pt>
                      <c:pt idx="168">
                        <c:v>0.92</c:v>
                      </c:pt>
                      <c:pt idx="169">
                        <c:v>0.9</c:v>
                      </c:pt>
                      <c:pt idx="170">
                        <c:v>0.47</c:v>
                      </c:pt>
                      <c:pt idx="171">
                        <c:v>0.41</c:v>
                      </c:pt>
                      <c:pt idx="172">
                        <c:v>0.11</c:v>
                      </c:pt>
                      <c:pt idx="173">
                        <c:v>0.55000000000000004</c:v>
                      </c:pt>
                      <c:pt idx="174">
                        <c:v>0.87</c:v>
                      </c:pt>
                      <c:pt idx="175">
                        <c:v>0.67</c:v>
                      </c:pt>
                      <c:pt idx="176">
                        <c:v>0.12</c:v>
                      </c:pt>
                      <c:pt idx="177">
                        <c:v>0.95</c:v>
                      </c:pt>
                      <c:pt idx="178">
                        <c:v>0.06</c:v>
                      </c:pt>
                      <c:pt idx="179">
                        <c:v>0.44</c:v>
                      </c:pt>
                      <c:pt idx="180">
                        <c:v>0.15</c:v>
                      </c:pt>
                      <c:pt idx="181">
                        <c:v>0.4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6CF-45AA-BE73-95B8E78BF7F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Data!$D$9</c15:sqref>
                        </c15:formulaRef>
                      </c:ext>
                    </c:extLst>
                    <c:strCache>
                      <c:ptCount val="1"/>
                      <c:pt idx="0">
                        <c:v>Change Percent (step1)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Data!$D$10:$D$191</c15:sqref>
                        </c15:formulaRef>
                      </c:ext>
                    </c:extLst>
                    <c:numCache>
                      <c:formatCode>General</c:formatCode>
                      <c:ptCount val="182"/>
                      <c:pt idx="0">
                        <c:v>7.6</c:v>
                      </c:pt>
                      <c:pt idx="1">
                        <c:v>2.2000000000000002</c:v>
                      </c:pt>
                      <c:pt idx="2">
                        <c:v>11.799999999999999</c:v>
                      </c:pt>
                      <c:pt idx="3">
                        <c:v>14.2</c:v>
                      </c:pt>
                      <c:pt idx="4">
                        <c:v>13.799999999999999</c:v>
                      </c:pt>
                      <c:pt idx="5">
                        <c:v>13.200000000000001</c:v>
                      </c:pt>
                      <c:pt idx="6">
                        <c:v>8.1999999999999993</c:v>
                      </c:pt>
                      <c:pt idx="7">
                        <c:v>6.6000000000000005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15.2</c:v>
                      </c:pt>
                      <c:pt idx="11">
                        <c:v>8.6</c:v>
                      </c:pt>
                      <c:pt idx="12">
                        <c:v>8.6</c:v>
                      </c:pt>
                      <c:pt idx="13">
                        <c:v>16.200000000000003</c:v>
                      </c:pt>
                      <c:pt idx="14">
                        <c:v>0.6</c:v>
                      </c:pt>
                      <c:pt idx="15">
                        <c:v>18.600000000000001</c:v>
                      </c:pt>
                      <c:pt idx="16">
                        <c:v>4.6000000000000005</c:v>
                      </c:pt>
                      <c:pt idx="17">
                        <c:v>13</c:v>
                      </c:pt>
                      <c:pt idx="18">
                        <c:v>17.600000000000001</c:v>
                      </c:pt>
                      <c:pt idx="19">
                        <c:v>15.4</c:v>
                      </c:pt>
                      <c:pt idx="20">
                        <c:v>4.6000000000000005</c:v>
                      </c:pt>
                      <c:pt idx="21">
                        <c:v>2.8000000000000003</c:v>
                      </c:pt>
                      <c:pt idx="22">
                        <c:v>5.8</c:v>
                      </c:pt>
                      <c:pt idx="23">
                        <c:v>0</c:v>
                      </c:pt>
                      <c:pt idx="24">
                        <c:v>2.8000000000000003</c:v>
                      </c:pt>
                      <c:pt idx="25">
                        <c:v>1.2</c:v>
                      </c:pt>
                      <c:pt idx="26">
                        <c:v>12.4</c:v>
                      </c:pt>
                      <c:pt idx="27">
                        <c:v>15.2</c:v>
                      </c:pt>
                      <c:pt idx="28">
                        <c:v>1.7999999999999998</c:v>
                      </c:pt>
                      <c:pt idx="29">
                        <c:v>7.6</c:v>
                      </c:pt>
                      <c:pt idx="30">
                        <c:v>15.2</c:v>
                      </c:pt>
                      <c:pt idx="31">
                        <c:v>2.6</c:v>
                      </c:pt>
                      <c:pt idx="32">
                        <c:v>12.4</c:v>
                      </c:pt>
                      <c:pt idx="33">
                        <c:v>5.8</c:v>
                      </c:pt>
                      <c:pt idx="34">
                        <c:v>2.4</c:v>
                      </c:pt>
                      <c:pt idx="35">
                        <c:v>19</c:v>
                      </c:pt>
                      <c:pt idx="36">
                        <c:v>15.2</c:v>
                      </c:pt>
                      <c:pt idx="37">
                        <c:v>2.8000000000000003</c:v>
                      </c:pt>
                      <c:pt idx="38">
                        <c:v>18.600000000000001</c:v>
                      </c:pt>
                      <c:pt idx="39">
                        <c:v>8.8000000000000007</c:v>
                      </c:pt>
                      <c:pt idx="40">
                        <c:v>6.4</c:v>
                      </c:pt>
                      <c:pt idx="41">
                        <c:v>5.4</c:v>
                      </c:pt>
                      <c:pt idx="42">
                        <c:v>11.399999999999999</c:v>
                      </c:pt>
                      <c:pt idx="43">
                        <c:v>13.4</c:v>
                      </c:pt>
                      <c:pt idx="44">
                        <c:v>3.2</c:v>
                      </c:pt>
                      <c:pt idx="45">
                        <c:v>2</c:v>
                      </c:pt>
                      <c:pt idx="46">
                        <c:v>14.8</c:v>
                      </c:pt>
                      <c:pt idx="47">
                        <c:v>19.600000000000001</c:v>
                      </c:pt>
                      <c:pt idx="48">
                        <c:v>8.1999999999999993</c:v>
                      </c:pt>
                      <c:pt idx="49">
                        <c:v>12</c:v>
                      </c:pt>
                      <c:pt idx="50">
                        <c:v>9.8000000000000007</c:v>
                      </c:pt>
                      <c:pt idx="51">
                        <c:v>16.599999999999998</c:v>
                      </c:pt>
                      <c:pt idx="52">
                        <c:v>16</c:v>
                      </c:pt>
                      <c:pt idx="53">
                        <c:v>15.2</c:v>
                      </c:pt>
                      <c:pt idx="54">
                        <c:v>14</c:v>
                      </c:pt>
                      <c:pt idx="55">
                        <c:v>7</c:v>
                      </c:pt>
                      <c:pt idx="56">
                        <c:v>2.2000000000000002</c:v>
                      </c:pt>
                      <c:pt idx="57">
                        <c:v>0.6</c:v>
                      </c:pt>
                      <c:pt idx="58">
                        <c:v>18</c:v>
                      </c:pt>
                      <c:pt idx="59">
                        <c:v>10.600000000000001</c:v>
                      </c:pt>
                      <c:pt idx="60">
                        <c:v>17.399999999999999</c:v>
                      </c:pt>
                      <c:pt idx="61">
                        <c:v>17.399999999999999</c:v>
                      </c:pt>
                      <c:pt idx="62">
                        <c:v>1.6</c:v>
                      </c:pt>
                      <c:pt idx="63">
                        <c:v>9.8000000000000007</c:v>
                      </c:pt>
                      <c:pt idx="64">
                        <c:v>13</c:v>
                      </c:pt>
                      <c:pt idx="65">
                        <c:v>17.2</c:v>
                      </c:pt>
                      <c:pt idx="66">
                        <c:v>17</c:v>
                      </c:pt>
                      <c:pt idx="67">
                        <c:v>12.4</c:v>
                      </c:pt>
                      <c:pt idx="68">
                        <c:v>14.399999999999999</c:v>
                      </c:pt>
                      <c:pt idx="69">
                        <c:v>0.4</c:v>
                      </c:pt>
                      <c:pt idx="70">
                        <c:v>12.2</c:v>
                      </c:pt>
                      <c:pt idx="71">
                        <c:v>3.2</c:v>
                      </c:pt>
                      <c:pt idx="72">
                        <c:v>15.4</c:v>
                      </c:pt>
                      <c:pt idx="73">
                        <c:v>10.4</c:v>
                      </c:pt>
                      <c:pt idx="74">
                        <c:v>9.8000000000000007</c:v>
                      </c:pt>
                      <c:pt idx="75">
                        <c:v>8</c:v>
                      </c:pt>
                      <c:pt idx="76">
                        <c:v>9.3999999999999986</c:v>
                      </c:pt>
                      <c:pt idx="77">
                        <c:v>5.2</c:v>
                      </c:pt>
                      <c:pt idx="78">
                        <c:v>16.8</c:v>
                      </c:pt>
                      <c:pt idx="79">
                        <c:v>20</c:v>
                      </c:pt>
                      <c:pt idx="80">
                        <c:v>4.8</c:v>
                      </c:pt>
                      <c:pt idx="81">
                        <c:v>12.8</c:v>
                      </c:pt>
                      <c:pt idx="82">
                        <c:v>3.8</c:v>
                      </c:pt>
                      <c:pt idx="83">
                        <c:v>7.1999999999999993</c:v>
                      </c:pt>
                      <c:pt idx="84">
                        <c:v>11</c:v>
                      </c:pt>
                      <c:pt idx="85">
                        <c:v>17.600000000000001</c:v>
                      </c:pt>
                      <c:pt idx="86">
                        <c:v>10.600000000000001</c:v>
                      </c:pt>
                      <c:pt idx="87">
                        <c:v>2.4</c:v>
                      </c:pt>
                      <c:pt idx="88">
                        <c:v>12</c:v>
                      </c:pt>
                      <c:pt idx="89">
                        <c:v>7.1999999999999993</c:v>
                      </c:pt>
                      <c:pt idx="90">
                        <c:v>0.8</c:v>
                      </c:pt>
                      <c:pt idx="91">
                        <c:v>7.8000000000000007</c:v>
                      </c:pt>
                      <c:pt idx="92">
                        <c:v>19.8</c:v>
                      </c:pt>
                      <c:pt idx="93">
                        <c:v>12.8</c:v>
                      </c:pt>
                      <c:pt idx="94">
                        <c:v>17.8</c:v>
                      </c:pt>
                      <c:pt idx="95">
                        <c:v>1.7999999999999998</c:v>
                      </c:pt>
                      <c:pt idx="96">
                        <c:v>3.2</c:v>
                      </c:pt>
                      <c:pt idx="97">
                        <c:v>10.600000000000001</c:v>
                      </c:pt>
                      <c:pt idx="98">
                        <c:v>11.6</c:v>
                      </c:pt>
                      <c:pt idx="99">
                        <c:v>15</c:v>
                      </c:pt>
                      <c:pt idx="100">
                        <c:v>2</c:v>
                      </c:pt>
                      <c:pt idx="101">
                        <c:v>7.8000000000000007</c:v>
                      </c:pt>
                      <c:pt idx="102">
                        <c:v>1.4000000000000001</c:v>
                      </c:pt>
                      <c:pt idx="103">
                        <c:v>8.4</c:v>
                      </c:pt>
                      <c:pt idx="104">
                        <c:v>18.799999999999997</c:v>
                      </c:pt>
                      <c:pt idx="105">
                        <c:v>7.6</c:v>
                      </c:pt>
                      <c:pt idx="106">
                        <c:v>6</c:v>
                      </c:pt>
                      <c:pt idx="107">
                        <c:v>16</c:v>
                      </c:pt>
                      <c:pt idx="108">
                        <c:v>2.6</c:v>
                      </c:pt>
                      <c:pt idx="109">
                        <c:v>19.8</c:v>
                      </c:pt>
                      <c:pt idx="110">
                        <c:v>6</c:v>
                      </c:pt>
                      <c:pt idx="111">
                        <c:v>14.8</c:v>
                      </c:pt>
                      <c:pt idx="112">
                        <c:v>20</c:v>
                      </c:pt>
                      <c:pt idx="113">
                        <c:v>16</c:v>
                      </c:pt>
                      <c:pt idx="114">
                        <c:v>15.4</c:v>
                      </c:pt>
                      <c:pt idx="115">
                        <c:v>14.2</c:v>
                      </c:pt>
                      <c:pt idx="116">
                        <c:v>2.8000000000000003</c:v>
                      </c:pt>
                      <c:pt idx="117">
                        <c:v>2.6</c:v>
                      </c:pt>
                      <c:pt idx="118">
                        <c:v>19.600000000000001</c:v>
                      </c:pt>
                      <c:pt idx="119">
                        <c:v>17.399999999999999</c:v>
                      </c:pt>
                      <c:pt idx="120">
                        <c:v>4</c:v>
                      </c:pt>
                      <c:pt idx="121">
                        <c:v>8</c:v>
                      </c:pt>
                      <c:pt idx="122">
                        <c:v>10</c:v>
                      </c:pt>
                      <c:pt idx="123">
                        <c:v>0.6</c:v>
                      </c:pt>
                      <c:pt idx="124">
                        <c:v>18.2</c:v>
                      </c:pt>
                      <c:pt idx="125">
                        <c:v>3.4000000000000004</c:v>
                      </c:pt>
                      <c:pt idx="126">
                        <c:v>19.2</c:v>
                      </c:pt>
                      <c:pt idx="127">
                        <c:v>19</c:v>
                      </c:pt>
                      <c:pt idx="128">
                        <c:v>13.4</c:v>
                      </c:pt>
                      <c:pt idx="129">
                        <c:v>9.3999999999999986</c:v>
                      </c:pt>
                      <c:pt idx="130">
                        <c:v>5.8</c:v>
                      </c:pt>
                      <c:pt idx="131">
                        <c:v>6.6000000000000005</c:v>
                      </c:pt>
                      <c:pt idx="132">
                        <c:v>4.8</c:v>
                      </c:pt>
                      <c:pt idx="133">
                        <c:v>10.8</c:v>
                      </c:pt>
                      <c:pt idx="134">
                        <c:v>3.8</c:v>
                      </c:pt>
                      <c:pt idx="135">
                        <c:v>4.4000000000000004</c:v>
                      </c:pt>
                      <c:pt idx="136">
                        <c:v>2.2000000000000002</c:v>
                      </c:pt>
                      <c:pt idx="137">
                        <c:v>2.4</c:v>
                      </c:pt>
                      <c:pt idx="138">
                        <c:v>13</c:v>
                      </c:pt>
                      <c:pt idx="139">
                        <c:v>10</c:v>
                      </c:pt>
                      <c:pt idx="140">
                        <c:v>6</c:v>
                      </c:pt>
                      <c:pt idx="141">
                        <c:v>13.200000000000001</c:v>
                      </c:pt>
                      <c:pt idx="142">
                        <c:v>16.399999999999999</c:v>
                      </c:pt>
                      <c:pt idx="143">
                        <c:v>7.1999999999999993</c:v>
                      </c:pt>
                      <c:pt idx="144">
                        <c:v>5.8</c:v>
                      </c:pt>
                      <c:pt idx="145">
                        <c:v>6.8000000000000007</c:v>
                      </c:pt>
                      <c:pt idx="146">
                        <c:v>15.4</c:v>
                      </c:pt>
                      <c:pt idx="147">
                        <c:v>0.4</c:v>
                      </c:pt>
                      <c:pt idx="148">
                        <c:v>6.6000000000000005</c:v>
                      </c:pt>
                      <c:pt idx="149">
                        <c:v>16.599999999999998</c:v>
                      </c:pt>
                      <c:pt idx="150">
                        <c:v>18.799999999999997</c:v>
                      </c:pt>
                      <c:pt idx="151">
                        <c:v>6.2</c:v>
                      </c:pt>
                      <c:pt idx="152">
                        <c:v>1.2</c:v>
                      </c:pt>
                      <c:pt idx="153">
                        <c:v>8.4</c:v>
                      </c:pt>
                      <c:pt idx="154">
                        <c:v>19.600000000000001</c:v>
                      </c:pt>
                      <c:pt idx="155">
                        <c:v>4.6000000000000005</c:v>
                      </c:pt>
                      <c:pt idx="156">
                        <c:v>16.599999999999998</c:v>
                      </c:pt>
                      <c:pt idx="157">
                        <c:v>8.4</c:v>
                      </c:pt>
                      <c:pt idx="158">
                        <c:v>9.8000000000000007</c:v>
                      </c:pt>
                      <c:pt idx="159">
                        <c:v>7</c:v>
                      </c:pt>
                      <c:pt idx="160">
                        <c:v>6.4</c:v>
                      </c:pt>
                      <c:pt idx="161">
                        <c:v>18.600000000000001</c:v>
                      </c:pt>
                      <c:pt idx="162">
                        <c:v>18.400000000000002</c:v>
                      </c:pt>
                      <c:pt idx="163">
                        <c:v>7.6</c:v>
                      </c:pt>
                      <c:pt idx="164">
                        <c:v>13.200000000000001</c:v>
                      </c:pt>
                      <c:pt idx="165">
                        <c:v>12.4</c:v>
                      </c:pt>
                      <c:pt idx="166">
                        <c:v>15.600000000000001</c:v>
                      </c:pt>
                      <c:pt idx="167">
                        <c:v>4.6000000000000005</c:v>
                      </c:pt>
                      <c:pt idx="168">
                        <c:v>18.400000000000002</c:v>
                      </c:pt>
                      <c:pt idx="169">
                        <c:v>18</c:v>
                      </c:pt>
                      <c:pt idx="170">
                        <c:v>9.3999999999999986</c:v>
                      </c:pt>
                      <c:pt idx="171">
                        <c:v>8.1999999999999993</c:v>
                      </c:pt>
                      <c:pt idx="172">
                        <c:v>2.2000000000000002</c:v>
                      </c:pt>
                      <c:pt idx="173">
                        <c:v>11</c:v>
                      </c:pt>
                      <c:pt idx="174">
                        <c:v>17.399999999999999</c:v>
                      </c:pt>
                      <c:pt idx="175">
                        <c:v>13.4</c:v>
                      </c:pt>
                      <c:pt idx="176">
                        <c:v>2.4</c:v>
                      </c:pt>
                      <c:pt idx="177">
                        <c:v>19</c:v>
                      </c:pt>
                      <c:pt idx="178">
                        <c:v>1.2</c:v>
                      </c:pt>
                      <c:pt idx="179">
                        <c:v>8.8000000000000007</c:v>
                      </c:pt>
                      <c:pt idx="180">
                        <c:v>3</c:v>
                      </c:pt>
                      <c:pt idx="181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6CF-45AA-BE73-95B8E78BF7F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Data!$E$9</c15:sqref>
                        </c15:formulaRef>
                      </c:ext>
                    </c:extLst>
                    <c:strCache>
                      <c:ptCount val="1"/>
                      <c:pt idx="0">
                        <c:v>Change Percent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Data!$E$10:$E$191</c15:sqref>
                        </c15:formulaRef>
                      </c:ext>
                    </c:extLst>
                    <c:numCache>
                      <c:formatCode>General</c:formatCode>
                      <c:ptCount val="182"/>
                      <c:pt idx="0">
                        <c:v>7.6</c:v>
                      </c:pt>
                      <c:pt idx="1">
                        <c:v>2.2000000000000002</c:v>
                      </c:pt>
                      <c:pt idx="2">
                        <c:v>-8.2000000000000011</c:v>
                      </c:pt>
                      <c:pt idx="3">
                        <c:v>-5.8000000000000007</c:v>
                      </c:pt>
                      <c:pt idx="4">
                        <c:v>-6.2000000000000011</c:v>
                      </c:pt>
                      <c:pt idx="5">
                        <c:v>-6.7999999999999989</c:v>
                      </c:pt>
                      <c:pt idx="6">
                        <c:v>8.1999999999999993</c:v>
                      </c:pt>
                      <c:pt idx="7">
                        <c:v>6.6000000000000005</c:v>
                      </c:pt>
                      <c:pt idx="8">
                        <c:v>10</c:v>
                      </c:pt>
                      <c:pt idx="9">
                        <c:v>-9</c:v>
                      </c:pt>
                      <c:pt idx="10">
                        <c:v>-4.8000000000000007</c:v>
                      </c:pt>
                      <c:pt idx="11">
                        <c:v>8.6</c:v>
                      </c:pt>
                      <c:pt idx="12">
                        <c:v>8.6</c:v>
                      </c:pt>
                      <c:pt idx="13">
                        <c:v>-3.7999999999999972</c:v>
                      </c:pt>
                      <c:pt idx="14">
                        <c:v>0.6</c:v>
                      </c:pt>
                      <c:pt idx="15">
                        <c:v>-1.3999999999999986</c:v>
                      </c:pt>
                      <c:pt idx="16">
                        <c:v>4.6000000000000005</c:v>
                      </c:pt>
                      <c:pt idx="17">
                        <c:v>-7</c:v>
                      </c:pt>
                      <c:pt idx="18">
                        <c:v>-2.3999999999999986</c:v>
                      </c:pt>
                      <c:pt idx="19">
                        <c:v>-4.5999999999999996</c:v>
                      </c:pt>
                      <c:pt idx="20">
                        <c:v>4.6000000000000005</c:v>
                      </c:pt>
                      <c:pt idx="21">
                        <c:v>2.8000000000000003</c:v>
                      </c:pt>
                      <c:pt idx="22">
                        <c:v>5.8</c:v>
                      </c:pt>
                      <c:pt idx="23">
                        <c:v>0</c:v>
                      </c:pt>
                      <c:pt idx="24">
                        <c:v>2.8000000000000003</c:v>
                      </c:pt>
                      <c:pt idx="25">
                        <c:v>1.2</c:v>
                      </c:pt>
                      <c:pt idx="26">
                        <c:v>-7.6</c:v>
                      </c:pt>
                      <c:pt idx="27">
                        <c:v>-4.8000000000000007</c:v>
                      </c:pt>
                      <c:pt idx="28">
                        <c:v>1.7999999999999998</c:v>
                      </c:pt>
                      <c:pt idx="29">
                        <c:v>7.6</c:v>
                      </c:pt>
                      <c:pt idx="30">
                        <c:v>-4.8000000000000007</c:v>
                      </c:pt>
                      <c:pt idx="31">
                        <c:v>2.6</c:v>
                      </c:pt>
                      <c:pt idx="32">
                        <c:v>-7.6</c:v>
                      </c:pt>
                      <c:pt idx="33">
                        <c:v>5.8</c:v>
                      </c:pt>
                      <c:pt idx="34">
                        <c:v>2.4</c:v>
                      </c:pt>
                      <c:pt idx="35">
                        <c:v>-1</c:v>
                      </c:pt>
                      <c:pt idx="36">
                        <c:v>-4.8000000000000007</c:v>
                      </c:pt>
                      <c:pt idx="37">
                        <c:v>2.8000000000000003</c:v>
                      </c:pt>
                      <c:pt idx="38">
                        <c:v>-1.3999999999999986</c:v>
                      </c:pt>
                      <c:pt idx="39">
                        <c:v>8.8000000000000007</c:v>
                      </c:pt>
                      <c:pt idx="40">
                        <c:v>6.4</c:v>
                      </c:pt>
                      <c:pt idx="41">
                        <c:v>5.4</c:v>
                      </c:pt>
                      <c:pt idx="42">
                        <c:v>-8.6000000000000014</c:v>
                      </c:pt>
                      <c:pt idx="43">
                        <c:v>-6.6</c:v>
                      </c:pt>
                      <c:pt idx="44">
                        <c:v>3.2</c:v>
                      </c:pt>
                      <c:pt idx="45">
                        <c:v>2</c:v>
                      </c:pt>
                      <c:pt idx="46">
                        <c:v>-5.1999999999999993</c:v>
                      </c:pt>
                      <c:pt idx="47">
                        <c:v>-0.39999999999999858</c:v>
                      </c:pt>
                      <c:pt idx="48">
                        <c:v>8.1999999999999993</c:v>
                      </c:pt>
                      <c:pt idx="49">
                        <c:v>-8</c:v>
                      </c:pt>
                      <c:pt idx="50">
                        <c:v>9.8000000000000007</c:v>
                      </c:pt>
                      <c:pt idx="51">
                        <c:v>-3.4000000000000021</c:v>
                      </c:pt>
                      <c:pt idx="52">
                        <c:v>-4</c:v>
                      </c:pt>
                      <c:pt idx="53">
                        <c:v>-4.8000000000000007</c:v>
                      </c:pt>
                      <c:pt idx="54">
                        <c:v>-6</c:v>
                      </c:pt>
                      <c:pt idx="55">
                        <c:v>7</c:v>
                      </c:pt>
                      <c:pt idx="56">
                        <c:v>2.2000000000000002</c:v>
                      </c:pt>
                      <c:pt idx="57">
                        <c:v>0.6</c:v>
                      </c:pt>
                      <c:pt idx="58">
                        <c:v>-2</c:v>
                      </c:pt>
                      <c:pt idx="59">
                        <c:v>-9.3999999999999986</c:v>
                      </c:pt>
                      <c:pt idx="60">
                        <c:v>-2.6000000000000014</c:v>
                      </c:pt>
                      <c:pt idx="61">
                        <c:v>-2.6000000000000014</c:v>
                      </c:pt>
                      <c:pt idx="62">
                        <c:v>1.6</c:v>
                      </c:pt>
                      <c:pt idx="63">
                        <c:v>9.8000000000000007</c:v>
                      </c:pt>
                      <c:pt idx="64">
                        <c:v>-7</c:v>
                      </c:pt>
                      <c:pt idx="65">
                        <c:v>-2.8000000000000007</c:v>
                      </c:pt>
                      <c:pt idx="66">
                        <c:v>-3</c:v>
                      </c:pt>
                      <c:pt idx="67">
                        <c:v>-7.6</c:v>
                      </c:pt>
                      <c:pt idx="68">
                        <c:v>-5.6000000000000014</c:v>
                      </c:pt>
                      <c:pt idx="69">
                        <c:v>0.4</c:v>
                      </c:pt>
                      <c:pt idx="70">
                        <c:v>-7.8000000000000007</c:v>
                      </c:pt>
                      <c:pt idx="71">
                        <c:v>3.2</c:v>
                      </c:pt>
                      <c:pt idx="72">
                        <c:v>-4.5999999999999996</c:v>
                      </c:pt>
                      <c:pt idx="73">
                        <c:v>-9.6</c:v>
                      </c:pt>
                      <c:pt idx="74">
                        <c:v>9.8000000000000007</c:v>
                      </c:pt>
                      <c:pt idx="75">
                        <c:v>8</c:v>
                      </c:pt>
                      <c:pt idx="76">
                        <c:v>9.3999999999999986</c:v>
                      </c:pt>
                      <c:pt idx="77">
                        <c:v>5.2</c:v>
                      </c:pt>
                      <c:pt idx="78">
                        <c:v>-3.1999999999999993</c:v>
                      </c:pt>
                      <c:pt idx="79">
                        <c:v>0</c:v>
                      </c:pt>
                      <c:pt idx="80">
                        <c:v>4.8</c:v>
                      </c:pt>
                      <c:pt idx="81">
                        <c:v>-7.1999999999999993</c:v>
                      </c:pt>
                      <c:pt idx="82">
                        <c:v>3.8</c:v>
                      </c:pt>
                      <c:pt idx="83">
                        <c:v>7.1999999999999993</c:v>
                      </c:pt>
                      <c:pt idx="84">
                        <c:v>-9</c:v>
                      </c:pt>
                      <c:pt idx="85">
                        <c:v>-2.3999999999999986</c:v>
                      </c:pt>
                      <c:pt idx="86">
                        <c:v>-9.3999999999999986</c:v>
                      </c:pt>
                      <c:pt idx="87">
                        <c:v>2.4</c:v>
                      </c:pt>
                      <c:pt idx="88">
                        <c:v>-8</c:v>
                      </c:pt>
                      <c:pt idx="89">
                        <c:v>7.1999999999999993</c:v>
                      </c:pt>
                      <c:pt idx="90">
                        <c:v>0.8</c:v>
                      </c:pt>
                      <c:pt idx="91">
                        <c:v>7.8000000000000007</c:v>
                      </c:pt>
                      <c:pt idx="92">
                        <c:v>-0.19999999999999929</c:v>
                      </c:pt>
                      <c:pt idx="93">
                        <c:v>-7.1999999999999993</c:v>
                      </c:pt>
                      <c:pt idx="94">
                        <c:v>-2.1999999999999993</c:v>
                      </c:pt>
                      <c:pt idx="95">
                        <c:v>1.7999999999999998</c:v>
                      </c:pt>
                      <c:pt idx="96">
                        <c:v>3.2</c:v>
                      </c:pt>
                      <c:pt idx="97">
                        <c:v>-9.3999999999999986</c:v>
                      </c:pt>
                      <c:pt idx="98">
                        <c:v>-8.4</c:v>
                      </c:pt>
                      <c:pt idx="99">
                        <c:v>-5</c:v>
                      </c:pt>
                      <c:pt idx="100">
                        <c:v>2</c:v>
                      </c:pt>
                      <c:pt idx="101">
                        <c:v>7.8000000000000007</c:v>
                      </c:pt>
                      <c:pt idx="102">
                        <c:v>1.4000000000000001</c:v>
                      </c:pt>
                      <c:pt idx="103">
                        <c:v>8.4</c:v>
                      </c:pt>
                      <c:pt idx="104">
                        <c:v>-1.2000000000000028</c:v>
                      </c:pt>
                      <c:pt idx="105">
                        <c:v>7.6</c:v>
                      </c:pt>
                      <c:pt idx="106">
                        <c:v>6</c:v>
                      </c:pt>
                      <c:pt idx="107">
                        <c:v>-4</c:v>
                      </c:pt>
                      <c:pt idx="108">
                        <c:v>2.6</c:v>
                      </c:pt>
                      <c:pt idx="109">
                        <c:v>-0.19999999999999929</c:v>
                      </c:pt>
                      <c:pt idx="110">
                        <c:v>6</c:v>
                      </c:pt>
                      <c:pt idx="111">
                        <c:v>-5.1999999999999993</c:v>
                      </c:pt>
                      <c:pt idx="112">
                        <c:v>0</c:v>
                      </c:pt>
                      <c:pt idx="113">
                        <c:v>-4</c:v>
                      </c:pt>
                      <c:pt idx="114">
                        <c:v>-4.5999999999999996</c:v>
                      </c:pt>
                      <c:pt idx="115">
                        <c:v>-5.8000000000000007</c:v>
                      </c:pt>
                      <c:pt idx="116">
                        <c:v>2.8000000000000003</c:v>
                      </c:pt>
                      <c:pt idx="117">
                        <c:v>2.6</c:v>
                      </c:pt>
                      <c:pt idx="118">
                        <c:v>-0.39999999999999858</c:v>
                      </c:pt>
                      <c:pt idx="119">
                        <c:v>-2.6000000000000014</c:v>
                      </c:pt>
                      <c:pt idx="120">
                        <c:v>4</c:v>
                      </c:pt>
                      <c:pt idx="121">
                        <c:v>8</c:v>
                      </c:pt>
                      <c:pt idx="122">
                        <c:v>10</c:v>
                      </c:pt>
                      <c:pt idx="123">
                        <c:v>0.6</c:v>
                      </c:pt>
                      <c:pt idx="124">
                        <c:v>-1.8000000000000007</c:v>
                      </c:pt>
                      <c:pt idx="125">
                        <c:v>3.4000000000000004</c:v>
                      </c:pt>
                      <c:pt idx="126">
                        <c:v>-0.80000000000000071</c:v>
                      </c:pt>
                      <c:pt idx="127">
                        <c:v>-1</c:v>
                      </c:pt>
                      <c:pt idx="128">
                        <c:v>-6.6</c:v>
                      </c:pt>
                      <c:pt idx="129">
                        <c:v>9.3999999999999986</c:v>
                      </c:pt>
                      <c:pt idx="130">
                        <c:v>5.8</c:v>
                      </c:pt>
                      <c:pt idx="131">
                        <c:v>6.6000000000000005</c:v>
                      </c:pt>
                      <c:pt idx="132">
                        <c:v>4.8</c:v>
                      </c:pt>
                      <c:pt idx="133">
                        <c:v>-9.1999999999999993</c:v>
                      </c:pt>
                      <c:pt idx="134">
                        <c:v>3.8</c:v>
                      </c:pt>
                      <c:pt idx="135">
                        <c:v>4.4000000000000004</c:v>
                      </c:pt>
                      <c:pt idx="136">
                        <c:v>2.2000000000000002</c:v>
                      </c:pt>
                      <c:pt idx="137">
                        <c:v>2.4</c:v>
                      </c:pt>
                      <c:pt idx="138">
                        <c:v>-7</c:v>
                      </c:pt>
                      <c:pt idx="139">
                        <c:v>10</c:v>
                      </c:pt>
                      <c:pt idx="140">
                        <c:v>6</c:v>
                      </c:pt>
                      <c:pt idx="141">
                        <c:v>-6.7999999999999989</c:v>
                      </c:pt>
                      <c:pt idx="142">
                        <c:v>-3.6000000000000014</c:v>
                      </c:pt>
                      <c:pt idx="143">
                        <c:v>7.1999999999999993</c:v>
                      </c:pt>
                      <c:pt idx="144">
                        <c:v>5.8</c:v>
                      </c:pt>
                      <c:pt idx="145">
                        <c:v>6.8000000000000007</c:v>
                      </c:pt>
                      <c:pt idx="146">
                        <c:v>-4.5999999999999996</c:v>
                      </c:pt>
                      <c:pt idx="147">
                        <c:v>0.4</c:v>
                      </c:pt>
                      <c:pt idx="148">
                        <c:v>6.6000000000000005</c:v>
                      </c:pt>
                      <c:pt idx="149">
                        <c:v>-3.4000000000000021</c:v>
                      </c:pt>
                      <c:pt idx="150">
                        <c:v>-1.2000000000000028</c:v>
                      </c:pt>
                      <c:pt idx="151">
                        <c:v>6.2</c:v>
                      </c:pt>
                      <c:pt idx="152">
                        <c:v>1.2</c:v>
                      </c:pt>
                      <c:pt idx="153">
                        <c:v>8.4</c:v>
                      </c:pt>
                      <c:pt idx="154">
                        <c:v>-0.39999999999999858</c:v>
                      </c:pt>
                      <c:pt idx="155">
                        <c:v>4.6000000000000005</c:v>
                      </c:pt>
                      <c:pt idx="156">
                        <c:v>-3.4000000000000021</c:v>
                      </c:pt>
                      <c:pt idx="157">
                        <c:v>8.4</c:v>
                      </c:pt>
                      <c:pt idx="158">
                        <c:v>9.8000000000000007</c:v>
                      </c:pt>
                      <c:pt idx="159">
                        <c:v>7</c:v>
                      </c:pt>
                      <c:pt idx="160">
                        <c:v>6.4</c:v>
                      </c:pt>
                      <c:pt idx="161">
                        <c:v>-1.3999999999999986</c:v>
                      </c:pt>
                      <c:pt idx="162">
                        <c:v>-1.5999999999999979</c:v>
                      </c:pt>
                      <c:pt idx="163">
                        <c:v>7.6</c:v>
                      </c:pt>
                      <c:pt idx="164">
                        <c:v>-6.7999999999999989</c:v>
                      </c:pt>
                      <c:pt idx="165">
                        <c:v>-7.6</c:v>
                      </c:pt>
                      <c:pt idx="166">
                        <c:v>-4.3999999999999986</c:v>
                      </c:pt>
                      <c:pt idx="167">
                        <c:v>4.6000000000000005</c:v>
                      </c:pt>
                      <c:pt idx="168">
                        <c:v>-1.5999999999999979</c:v>
                      </c:pt>
                      <c:pt idx="169">
                        <c:v>-2</c:v>
                      </c:pt>
                      <c:pt idx="170">
                        <c:v>9.3999999999999986</c:v>
                      </c:pt>
                      <c:pt idx="171">
                        <c:v>8.1999999999999993</c:v>
                      </c:pt>
                      <c:pt idx="172">
                        <c:v>2.2000000000000002</c:v>
                      </c:pt>
                      <c:pt idx="173">
                        <c:v>-9</c:v>
                      </c:pt>
                      <c:pt idx="174">
                        <c:v>-2.6000000000000014</c:v>
                      </c:pt>
                      <c:pt idx="175">
                        <c:v>-6.6</c:v>
                      </c:pt>
                      <c:pt idx="176">
                        <c:v>2.4</c:v>
                      </c:pt>
                      <c:pt idx="177">
                        <c:v>-1</c:v>
                      </c:pt>
                      <c:pt idx="178">
                        <c:v>1.2</c:v>
                      </c:pt>
                      <c:pt idx="179">
                        <c:v>8.8000000000000007</c:v>
                      </c:pt>
                      <c:pt idx="180">
                        <c:v>3</c:v>
                      </c:pt>
                      <c:pt idx="181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6CF-45AA-BE73-95B8E78BF7F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Data!$F$9</c15:sqref>
                        </c15:formulaRef>
                      </c:ext>
                    </c:extLst>
                    <c:strCache>
                      <c:ptCount val="1"/>
                      <c:pt idx="0">
                        <c:v>Change Amount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Data!$F$10:$F$191</c15:sqref>
                        </c15:formulaRef>
                      </c:ext>
                    </c:extLst>
                    <c:numCache>
                      <c:formatCode>General</c:formatCode>
                      <c:ptCount val="182"/>
                      <c:pt idx="0">
                        <c:v>3.8</c:v>
                      </c:pt>
                      <c:pt idx="1">
                        <c:v>1.1836</c:v>
                      </c:pt>
                      <c:pt idx="2">
                        <c:v>-4.5086552000000006</c:v>
                      </c:pt>
                      <c:pt idx="3">
                        <c:v>-2.9275467984000003</c:v>
                      </c:pt>
                      <c:pt idx="4">
                        <c:v>-2.9479386760992004</c:v>
                      </c:pt>
                      <c:pt idx="5">
                        <c:v>-3.0327632341340536</c:v>
                      </c:pt>
                      <c:pt idx="6">
                        <c:v>3.4084690794920727</c:v>
                      </c:pt>
                      <c:pt idx="7">
                        <c:v>2.9683609012766818</c:v>
                      </c:pt>
                      <c:pt idx="8">
                        <c:v>4.7943526072135496</c:v>
                      </c:pt>
                      <c:pt idx="9">
                        <c:v>-4.7464090811414135</c:v>
                      </c:pt>
                      <c:pt idx="10">
                        <c:v>-2.3035905407139667</c:v>
                      </c:pt>
                      <c:pt idx="11">
                        <c:v>3.9291575989444545</c:v>
                      </c:pt>
                      <c:pt idx="12">
                        <c:v>4.2670651524536778</c:v>
                      </c:pt>
                      <c:pt idx="13">
                        <c:v>-2.0475958687378863</c:v>
                      </c:pt>
                      <c:pt idx="14">
                        <c:v>0.31101903564092342</c:v>
                      </c:pt>
                      <c:pt idx="15">
                        <c:v>-0.73006534966112691</c:v>
                      </c:pt>
                      <c:pt idx="16">
                        <c:v>2.3652031428021507</c:v>
                      </c:pt>
                      <c:pt idx="17">
                        <c:v>-3.7647863938255104</c:v>
                      </c:pt>
                      <c:pt idx="18">
                        <c:v>-1.2004290330026477</c:v>
                      </c:pt>
                      <c:pt idx="19">
                        <c:v>-2.2456025777369542</c:v>
                      </c:pt>
                      <c:pt idx="20">
                        <c:v>2.1423048591610545</c:v>
                      </c:pt>
                      <c:pt idx="21">
                        <c:v>1.3639961894588906</c:v>
                      </c:pt>
                      <c:pt idx="22">
                        <c:v>2.9045324571534596</c:v>
                      </c:pt>
                      <c:pt idx="23">
                        <c:v>0</c:v>
                      </c:pt>
                      <c:pt idx="24">
                        <c:v>1.4835149915640362</c:v>
                      </c:pt>
                      <c:pt idx="25">
                        <c:v>0.65359431914049815</c:v>
                      </c:pt>
                      <c:pt idx="26">
                        <c:v>-4.1891038561444986</c:v>
                      </c:pt>
                      <c:pt idx="27">
                        <c:v>-2.4446728187858007</c:v>
                      </c:pt>
                      <c:pt idx="28">
                        <c:v>0.87274819630653067</c:v>
                      </c:pt>
                      <c:pt idx="29">
                        <c:v>3.7512656917690927</c:v>
                      </c:pt>
                      <c:pt idx="30">
                        <c:v>-2.5492811901117123</c:v>
                      </c:pt>
                      <c:pt idx="31">
                        <c:v>1.3145793337009395</c:v>
                      </c:pt>
                      <c:pt idx="32">
                        <c:v>-3.9425245432563254</c:v>
                      </c:pt>
                      <c:pt idx="33">
                        <c:v>2.78010230687096</c:v>
                      </c:pt>
                      <c:pt idx="34">
                        <c:v>1.2171096168287487</c:v>
                      </c:pt>
                      <c:pt idx="35">
                        <c:v>-0.51930010318026609</c:v>
                      </c:pt>
                      <c:pt idx="36">
                        <c:v>-2.4677140903126249</c:v>
                      </c:pt>
                      <c:pt idx="37">
                        <c:v>1.3704038914869443</c:v>
                      </c:pt>
                      <c:pt idx="38">
                        <c:v>-0.70438760022428859</c:v>
                      </c:pt>
                      <c:pt idx="39">
                        <c:v>4.3655930925900819</c:v>
                      </c:pt>
                      <c:pt idx="40">
                        <c:v>3.4543747525367334</c:v>
                      </c:pt>
                      <c:pt idx="41">
                        <c:v>3.1011649340898528</c:v>
                      </c:pt>
                      <c:pt idx="42">
                        <c:v>-5.2055924867711232</c:v>
                      </c:pt>
                      <c:pt idx="43">
                        <c:v>-3.651420478743967</c:v>
                      </c:pt>
                      <c:pt idx="44">
                        <c:v>1.6535402313439347</c:v>
                      </c:pt>
                      <c:pt idx="45">
                        <c:v>1.0665334492168379</c:v>
                      </c:pt>
                      <c:pt idx="46">
                        <c:v>-2.8284467073230535</c:v>
                      </c:pt>
                      <c:pt idx="47">
                        <c:v>-0.20625903681094201</c:v>
                      </c:pt>
                      <c:pt idx="48">
                        <c:v>4.2113970136058283</c:v>
                      </c:pt>
                      <c:pt idx="49">
                        <c:v>-4.4455917743624456</c:v>
                      </c:pt>
                      <c:pt idx="50">
                        <c:v>5.0101819297064756</c:v>
                      </c:pt>
                      <c:pt idx="51">
                        <c:v>-1.9085725693857374</c:v>
                      </c:pt>
                      <c:pt idx="52">
                        <c:v>-2.1690365906195543</c:v>
                      </c:pt>
                      <c:pt idx="53">
                        <c:v>-2.4987301523937266</c:v>
                      </c:pt>
                      <c:pt idx="54">
                        <c:v>-2.9734888813485343</c:v>
                      </c:pt>
                      <c:pt idx="55">
                        <c:v>3.2609261398788925</c:v>
                      </c:pt>
                      <c:pt idx="56">
                        <c:v>1.0966028761821305</c:v>
                      </c:pt>
                      <c:pt idx="57">
                        <c:v>0.30565312894312835</c:v>
                      </c:pt>
                      <c:pt idx="58">
                        <c:v>-1.0249568257226236</c:v>
                      </c:pt>
                      <c:pt idx="59">
                        <c:v>-4.7209511392784034</c:v>
                      </c:pt>
                      <c:pt idx="60">
                        <c:v>-1.1830502663493845</c:v>
                      </c:pt>
                      <c:pt idx="61">
                        <c:v>-1.1522909594243005</c:v>
                      </c:pt>
                      <c:pt idx="62">
                        <c:v>0.69066547352570351</c:v>
                      </c:pt>
                      <c:pt idx="63">
                        <c:v>4.2980112417504532</c:v>
                      </c:pt>
                      <c:pt idx="64">
                        <c:v>-3.3708688167442844</c:v>
                      </c:pt>
                      <c:pt idx="65">
                        <c:v>-1.2539631998288738</c:v>
                      </c:pt>
                      <c:pt idx="66">
                        <c:v>-1.3059131038217839</c:v>
                      </c:pt>
                      <c:pt idx="67">
                        <c:v>-3.2090638004580638</c:v>
                      </c:pt>
                      <c:pt idx="68">
                        <c:v>-2.1848657538276592</c:v>
                      </c:pt>
                      <c:pt idx="69">
                        <c:v>0.14732237654380786</c:v>
                      </c:pt>
                      <c:pt idx="70">
                        <c:v>-2.8842774879746704</c:v>
                      </c:pt>
                      <c:pt idx="71">
                        <c:v>1.0909964487846751</c:v>
                      </c:pt>
                      <c:pt idx="72">
                        <c:v>-1.6184932317720653</c:v>
                      </c:pt>
                      <c:pt idx="73">
                        <c:v>-3.2223496551872355</c:v>
                      </c:pt>
                      <c:pt idx="74">
                        <c:v>2.9736916734619538</c:v>
                      </c:pt>
                      <c:pt idx="75">
                        <c:v>2.6653987407846738</c:v>
                      </c:pt>
                      <c:pt idx="76">
                        <c:v>3.3823910020557508</c:v>
                      </c:pt>
                      <c:pt idx="77">
                        <c:v>2.0469942481377403</c:v>
                      </c:pt>
                      <c:pt idx="78">
                        <c:v>-1.3251925840251706</c:v>
                      </c:pt>
                      <c:pt idx="79">
                        <c:v>0</c:v>
                      </c:pt>
                      <c:pt idx="80">
                        <c:v>1.9241796320045483</c:v>
                      </c:pt>
                      <c:pt idx="81">
                        <c:v>-3.0248103815111493</c:v>
                      </c:pt>
                      <c:pt idx="82">
                        <c:v>1.481484906855683</c:v>
                      </c:pt>
                      <c:pt idx="83">
                        <c:v>2.9136909473359558</c:v>
                      </c:pt>
                      <c:pt idx="84">
                        <c:v>-3.9043458694301809</c:v>
                      </c:pt>
                      <c:pt idx="85">
                        <c:v>-0.94745459764839013</c:v>
                      </c:pt>
                      <c:pt idx="86">
                        <c:v>-3.6218031086105809</c:v>
                      </c:pt>
                      <c:pt idx="87">
                        <c:v>0.8377924126981755</c:v>
                      </c:pt>
                      <c:pt idx="88">
                        <c:v>-2.8596647686764389</c:v>
                      </c:pt>
                      <c:pt idx="89">
                        <c:v>2.3678024284640915</c:v>
                      </c:pt>
                      <c:pt idx="90">
                        <c:v>0.28203157814594509</c:v>
                      </c:pt>
                      <c:pt idx="91">
                        <c:v>2.7718063500183492</c:v>
                      </c:pt>
                      <c:pt idx="92">
                        <c:v>-7.6615570392814608E-2</c:v>
                      </c:pt>
                      <c:pt idx="93">
                        <c:v>-2.7526442130730522</c:v>
                      </c:pt>
                      <c:pt idx="94">
                        <c:v>-0.78052755908471416</c:v>
                      </c:pt>
                      <c:pt idx="95">
                        <c:v>0.62456396136942316</c:v>
                      </c:pt>
                      <c:pt idx="96">
                        <c:v>1.1303219780872407</c:v>
                      </c:pt>
                      <c:pt idx="97">
                        <c:v>-3.4265710765714696</c:v>
                      </c:pt>
                      <c:pt idx="98">
                        <c:v>-2.7742102682063314</c:v>
                      </c:pt>
                      <c:pt idx="99">
                        <c:v>-1.5126051224267856</c:v>
                      </c:pt>
                      <c:pt idx="100">
                        <c:v>0.57478994652217852</c:v>
                      </c:pt>
                      <c:pt idx="101">
                        <c:v>2.2865144072652264</c:v>
                      </c:pt>
                      <c:pt idx="102">
                        <c:v>0.44241122351854867</c:v>
                      </c:pt>
                      <c:pt idx="103">
                        <c:v>2.6916298838868498</c:v>
                      </c:pt>
                      <c:pt idx="104">
                        <c:v>-0.41681811344762165</c:v>
                      </c:pt>
                      <c:pt idx="105">
                        <c:v>2.6081698752129117</c:v>
                      </c:pt>
                      <c:pt idx="106">
                        <c:v>2.2155716729440207</c:v>
                      </c:pt>
                      <c:pt idx="107">
                        <c:v>-1.5656706488804415</c:v>
                      </c:pt>
                      <c:pt idx="108">
                        <c:v>0.97697848490139549</c:v>
                      </c:pt>
                      <c:pt idx="109">
                        <c:v>-7.7106148116063714E-2</c:v>
                      </c:pt>
                      <c:pt idx="110">
                        <c:v>2.3085580745949552</c:v>
                      </c:pt>
                      <c:pt idx="111">
                        <c:v>-2.1207953511945652</c:v>
                      </c:pt>
                      <c:pt idx="112">
                        <c:v>0</c:v>
                      </c:pt>
                      <c:pt idx="113">
                        <c:v>-1.5465492253326525</c:v>
                      </c:pt>
                      <c:pt idx="114">
                        <c:v>-1.7073903447672483</c:v>
                      </c:pt>
                      <c:pt idx="115">
                        <c:v>-2.0537678816665523</c:v>
                      </c:pt>
                      <c:pt idx="116">
                        <c:v>0.93396864908339616</c:v>
                      </c:pt>
                      <c:pt idx="117">
                        <c:v>0.89153978759646468</c:v>
                      </c:pt>
                      <c:pt idx="118">
                        <c:v>-0.14072612647291841</c:v>
                      </c:pt>
                      <c:pt idx="119">
                        <c:v>-0.91106094278567729</c:v>
                      </c:pt>
                      <c:pt idx="120">
                        <c:v>1.365189781958845</c:v>
                      </c:pt>
                      <c:pt idx="121">
                        <c:v>2.8395947464743978</c:v>
                      </c:pt>
                      <c:pt idx="122">
                        <c:v>3.8334529077404369</c:v>
                      </c:pt>
                      <c:pt idx="123">
                        <c:v>0.25300789191086887</c:v>
                      </c:pt>
                      <c:pt idx="124">
                        <c:v>-0.7635778177870024</c:v>
                      </c:pt>
                      <c:pt idx="125">
                        <c:v>1.416352010015135</c:v>
                      </c:pt>
                      <c:pt idx="126">
                        <c:v>-0.34459011255427074</c:v>
                      </c:pt>
                      <c:pt idx="127">
                        <c:v>-0.42729173956729533</c:v>
                      </c:pt>
                      <c:pt idx="128">
                        <c:v>-2.791924226332708</c:v>
                      </c:pt>
                      <c:pt idx="129">
                        <c:v>3.7139360511379751</c:v>
                      </c:pt>
                      <c:pt idx="130">
                        <c:v>2.5069858544341153</c:v>
                      </c:pt>
                      <c:pt idx="131">
                        <c:v>3.0182380731625069</c:v>
                      </c:pt>
                      <c:pt idx="132">
                        <c:v>2.3399576625390779</c:v>
                      </c:pt>
                      <c:pt idx="133">
                        <c:v>-4.700194958153495</c:v>
                      </c:pt>
                      <c:pt idx="134">
                        <c:v>1.7627774656100887</c:v>
                      </c:pt>
                      <c:pt idx="135">
                        <c:v>2.1186729581406309</c:v>
                      </c:pt>
                      <c:pt idx="136">
                        <c:v>1.1059472841494093</c:v>
                      </c:pt>
                      <c:pt idx="137">
                        <c:v>1.2330306811643958</c:v>
                      </c:pt>
                      <c:pt idx="138">
                        <c:v>-3.6826516344109961</c:v>
                      </c:pt>
                      <c:pt idx="139">
                        <c:v>4.8926657428603235</c:v>
                      </c:pt>
                      <c:pt idx="140">
                        <c:v>3.2291593902878128</c:v>
                      </c:pt>
                      <c:pt idx="141">
                        <c:v>-3.8792968141990922</c:v>
                      </c:pt>
                      <c:pt idx="142">
                        <c:v>-1.9140906869118823</c:v>
                      </c:pt>
                      <c:pt idx="143">
                        <c:v>3.6903668443661073</c:v>
                      </c:pt>
                      <c:pt idx="144">
                        <c:v>3.1868367904903767</c:v>
                      </c:pt>
                      <c:pt idx="145">
                        <c:v>3.9529963112937874</c:v>
                      </c:pt>
                      <c:pt idx="146">
                        <c:v>-2.8559235703123704</c:v>
                      </c:pt>
                      <c:pt idx="147">
                        <c:v>0.23691748574591315</c:v>
                      </c:pt>
                      <c:pt idx="148">
                        <c:v>3.9247750688667975</c:v>
                      </c:pt>
                      <c:pt idx="149">
                        <c:v>-2.1552961756970954</c:v>
                      </c:pt>
                      <c:pt idx="150">
                        <c:v>-0.73482921378472854</c:v>
                      </c:pt>
                      <c:pt idx="151">
                        <c:v>3.7510581932997691</c:v>
                      </c:pt>
                      <c:pt idx="152">
                        <c:v>0.7710239615389074</c:v>
                      </c:pt>
                      <c:pt idx="153">
                        <c:v>5.4619337435416195</c:v>
                      </c:pt>
                      <c:pt idx="154">
                        <c:v>-0.28193981799995693</c:v>
                      </c:pt>
                      <c:pt idx="155">
                        <c:v>3.2293386753715181</c:v>
                      </c:pt>
                      <c:pt idx="156">
                        <c:v>-2.4967000141502771</c:v>
                      </c:pt>
                      <c:pt idx="157">
                        <c:v>5.958594880829704</c:v>
                      </c:pt>
                      <c:pt idx="158">
                        <c:v>7.5356363259559664</c:v>
                      </c:pt>
                      <c:pt idx="159">
                        <c:v>5.9100919184997505</c:v>
                      </c:pt>
                      <c:pt idx="160">
                        <c:v>5.7817584939837552</c:v>
                      </c:pt>
                      <c:pt idx="161">
                        <c:v>-1.3457042894747178</c:v>
                      </c:pt>
                      <c:pt idx="162">
                        <c:v>-1.5164164907680815</c:v>
                      </c:pt>
                      <c:pt idx="163">
                        <c:v>7.087730677850022</c:v>
                      </c:pt>
                      <c:pt idx="164">
                        <c:v>-6.8236194504859249</c:v>
                      </c:pt>
                      <c:pt idx="165">
                        <c:v>-7.1078031311296934</c:v>
                      </c:pt>
                      <c:pt idx="166">
                        <c:v>-3.8023005802527456</c:v>
                      </c:pt>
                      <c:pt idx="167">
                        <c:v>3.8002265981180643</c:v>
                      </c:pt>
                      <c:pt idx="168">
                        <c:v>-1.3826215727413875</c:v>
                      </c:pt>
                      <c:pt idx="169">
                        <c:v>-1.7006245344719091</c:v>
                      </c:pt>
                      <c:pt idx="170">
                        <c:v>7.8330766057776113</c:v>
                      </c:pt>
                      <c:pt idx="171">
                        <c:v>7.4754216611818931</c:v>
                      </c:pt>
                      <c:pt idx="172">
                        <c:v>2.1700602100338271</c:v>
                      </c:pt>
                      <c:pt idx="173">
                        <c:v>-9.0728244599505175</c:v>
                      </c:pt>
                      <c:pt idx="174">
                        <c:v>-2.3851447413603264</c:v>
                      </c:pt>
                      <c:pt idx="175">
                        <c:v>-5.8971786366771983</c:v>
                      </c:pt>
                      <c:pt idx="176">
                        <c:v>2.0028963078750923</c:v>
                      </c:pt>
                      <c:pt idx="177">
                        <c:v>-0.85456909136003933</c:v>
                      </c:pt>
                      <c:pt idx="178">
                        <c:v>1.0152280805357268</c:v>
                      </c:pt>
                      <c:pt idx="179">
                        <c:v>7.5343459950158067</c:v>
                      </c:pt>
                      <c:pt idx="180">
                        <c:v>2.7945574236058626</c:v>
                      </c:pt>
                      <c:pt idx="181">
                        <c:v>7.6757177235041034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6CF-45AA-BE73-95B8E78BF7F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Data!$G$9</c15:sqref>
                        </c15:formulaRef>
                      </c:ext>
                    </c:extLst>
                    <c:strCache>
                      <c:ptCount val="1"/>
                      <c:pt idx="0">
                        <c:v>Old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Data!$G$10:$G$191</c15:sqref>
                        </c15:formulaRef>
                      </c:ext>
                    </c:extLst>
                    <c:numCache>
                      <c:formatCode>General</c:formatCode>
                      <c:ptCount val="182"/>
                      <c:pt idx="0">
                        <c:v>50</c:v>
                      </c:pt>
                      <c:pt idx="1">
                        <c:v>53.8</c:v>
                      </c:pt>
                      <c:pt idx="2">
                        <c:v>54.983599999999996</c:v>
                      </c:pt>
                      <c:pt idx="3">
                        <c:v>50.474944799999996</c:v>
                      </c:pt>
                      <c:pt idx="4">
                        <c:v>47.547398001599994</c:v>
                      </c:pt>
                      <c:pt idx="5">
                        <c:v>44.599459325500796</c:v>
                      </c:pt>
                      <c:pt idx="6">
                        <c:v>41.566696091366744</c:v>
                      </c:pt>
                      <c:pt idx="7">
                        <c:v>44.975165170858816</c:v>
                      </c:pt>
                      <c:pt idx="8">
                        <c:v>47.943526072135498</c:v>
                      </c:pt>
                      <c:pt idx="9">
                        <c:v>52.737878679349045</c:v>
                      </c:pt>
                      <c:pt idx="10">
                        <c:v>47.99146959820763</c:v>
                      </c:pt>
                      <c:pt idx="11">
                        <c:v>45.68787905749366</c:v>
                      </c:pt>
                      <c:pt idx="12">
                        <c:v>49.617036656438117</c:v>
                      </c:pt>
                      <c:pt idx="13">
                        <c:v>53.884101808891792</c:v>
                      </c:pt>
                      <c:pt idx="14">
                        <c:v>51.836505940153906</c:v>
                      </c:pt>
                      <c:pt idx="15">
                        <c:v>52.14752497579483</c:v>
                      </c:pt>
                      <c:pt idx="16">
                        <c:v>51.417459626133706</c:v>
                      </c:pt>
                      <c:pt idx="17">
                        <c:v>53.782662768935857</c:v>
                      </c:pt>
                      <c:pt idx="18">
                        <c:v>50.017876375110347</c:v>
                      </c:pt>
                      <c:pt idx="19">
                        <c:v>48.817447342107698</c:v>
                      </c:pt>
                      <c:pt idx="20">
                        <c:v>46.571844764370745</c:v>
                      </c:pt>
                      <c:pt idx="21">
                        <c:v>48.714149623531796</c:v>
                      </c:pt>
                      <c:pt idx="22">
                        <c:v>50.078145812990684</c:v>
                      </c:pt>
                      <c:pt idx="23">
                        <c:v>52.982678270144142</c:v>
                      </c:pt>
                      <c:pt idx="24">
                        <c:v>52.982678270144142</c:v>
                      </c:pt>
                      <c:pt idx="25">
                        <c:v>54.466193261708177</c:v>
                      </c:pt>
                      <c:pt idx="26">
                        <c:v>55.119787580848673</c:v>
                      </c:pt>
                      <c:pt idx="27">
                        <c:v>50.930683724704174</c:v>
                      </c:pt>
                      <c:pt idx="28">
                        <c:v>48.486010905918377</c:v>
                      </c:pt>
                      <c:pt idx="29">
                        <c:v>49.358759102224909</c:v>
                      </c:pt>
                      <c:pt idx="30">
                        <c:v>53.110024793994</c:v>
                      </c:pt>
                      <c:pt idx="31">
                        <c:v>50.560743603882287</c:v>
                      </c:pt>
                      <c:pt idx="32">
                        <c:v>51.875322937583228</c:v>
                      </c:pt>
                      <c:pt idx="33">
                        <c:v>47.932798394326902</c:v>
                      </c:pt>
                      <c:pt idx="34">
                        <c:v>50.71290070119786</c:v>
                      </c:pt>
                      <c:pt idx="35">
                        <c:v>51.930010318026611</c:v>
                      </c:pt>
                      <c:pt idx="36">
                        <c:v>51.410710214846347</c:v>
                      </c:pt>
                      <c:pt idx="37">
                        <c:v>48.942996124533721</c:v>
                      </c:pt>
                      <c:pt idx="38">
                        <c:v>50.313400016020665</c:v>
                      </c:pt>
                      <c:pt idx="39">
                        <c:v>49.609012415796379</c:v>
                      </c:pt>
                      <c:pt idx="40">
                        <c:v>53.97460550838646</c:v>
                      </c:pt>
                      <c:pt idx="41">
                        <c:v>57.428980260923197</c:v>
                      </c:pt>
                      <c:pt idx="42">
                        <c:v>60.530145195013048</c:v>
                      </c:pt>
                      <c:pt idx="43">
                        <c:v>55.324552708241924</c:v>
                      </c:pt>
                      <c:pt idx="44">
                        <c:v>51.673132229497959</c:v>
                      </c:pt>
                      <c:pt idx="45">
                        <c:v>53.326672460841891</c:v>
                      </c:pt>
                      <c:pt idx="46">
                        <c:v>54.393205910058732</c:v>
                      </c:pt>
                      <c:pt idx="47">
                        <c:v>51.564759202735679</c:v>
                      </c:pt>
                      <c:pt idx="48">
                        <c:v>51.358500165924738</c:v>
                      </c:pt>
                      <c:pt idx="49">
                        <c:v>55.569897179530564</c:v>
                      </c:pt>
                      <c:pt idx="50">
                        <c:v>51.124305405168116</c:v>
                      </c:pt>
                      <c:pt idx="51">
                        <c:v>56.134487334874592</c:v>
                      </c:pt>
                      <c:pt idx="52">
                        <c:v>54.225914765488852</c:v>
                      </c:pt>
                      <c:pt idx="53">
                        <c:v>52.056878174869297</c:v>
                      </c:pt>
                      <c:pt idx="54">
                        <c:v>49.558148022475571</c:v>
                      </c:pt>
                      <c:pt idx="55">
                        <c:v>46.584659141127034</c:v>
                      </c:pt>
                      <c:pt idx="56">
                        <c:v>49.845585281005924</c:v>
                      </c:pt>
                      <c:pt idx="57">
                        <c:v>50.942188157188056</c:v>
                      </c:pt>
                      <c:pt idx="58">
                        <c:v>51.247841286131184</c:v>
                      </c:pt>
                      <c:pt idx="59">
                        <c:v>50.222884460408558</c:v>
                      </c:pt>
                      <c:pt idx="60">
                        <c:v>45.501933321130153</c:v>
                      </c:pt>
                      <c:pt idx="61">
                        <c:v>44.31888305478077</c:v>
                      </c:pt>
                      <c:pt idx="62">
                        <c:v>43.166592095356471</c:v>
                      </c:pt>
                      <c:pt idx="63">
                        <c:v>43.857257568882176</c:v>
                      </c:pt>
                      <c:pt idx="64">
                        <c:v>48.155268810632627</c:v>
                      </c:pt>
                      <c:pt idx="65">
                        <c:v>44.784399993888343</c:v>
                      </c:pt>
                      <c:pt idx="66">
                        <c:v>43.530436794059469</c:v>
                      </c:pt>
                      <c:pt idx="67">
                        <c:v>42.224523690237682</c:v>
                      </c:pt>
                      <c:pt idx="68">
                        <c:v>39.015459889779621</c:v>
                      </c:pt>
                      <c:pt idx="69">
                        <c:v>36.830594135951962</c:v>
                      </c:pt>
                      <c:pt idx="70">
                        <c:v>36.977916512495767</c:v>
                      </c:pt>
                      <c:pt idx="71">
                        <c:v>34.093639024521096</c:v>
                      </c:pt>
                      <c:pt idx="72">
                        <c:v>35.184635473305768</c:v>
                      </c:pt>
                      <c:pt idx="73">
                        <c:v>33.566142241533704</c:v>
                      </c:pt>
                      <c:pt idx="74">
                        <c:v>30.343792586346467</c:v>
                      </c:pt>
                      <c:pt idx="75">
                        <c:v>33.317484259808424</c:v>
                      </c:pt>
                      <c:pt idx="76">
                        <c:v>35.982883000593098</c:v>
                      </c:pt>
                      <c:pt idx="77">
                        <c:v>39.365274002648846</c:v>
                      </c:pt>
                      <c:pt idx="78">
                        <c:v>41.412268250786589</c:v>
                      </c:pt>
                      <c:pt idx="79">
                        <c:v>40.087075666761422</c:v>
                      </c:pt>
                      <c:pt idx="80">
                        <c:v>40.087075666761422</c:v>
                      </c:pt>
                      <c:pt idx="81">
                        <c:v>42.011255298765967</c:v>
                      </c:pt>
                      <c:pt idx="82">
                        <c:v>38.986444917254815</c:v>
                      </c:pt>
                      <c:pt idx="83">
                        <c:v>40.467929824110499</c:v>
                      </c:pt>
                      <c:pt idx="84">
                        <c:v>43.381620771446457</c:v>
                      </c:pt>
                      <c:pt idx="85">
                        <c:v>39.477274902016276</c:v>
                      </c:pt>
                      <c:pt idx="86">
                        <c:v>38.529820304367888</c:v>
                      </c:pt>
                      <c:pt idx="87">
                        <c:v>34.90801719575731</c:v>
                      </c:pt>
                      <c:pt idx="88">
                        <c:v>35.745809608455488</c:v>
                      </c:pt>
                      <c:pt idx="89">
                        <c:v>32.88614483977905</c:v>
                      </c:pt>
                      <c:pt idx="90">
                        <c:v>35.253947268243138</c:v>
                      </c:pt>
                      <c:pt idx="91">
                        <c:v>35.535978846389085</c:v>
                      </c:pt>
                      <c:pt idx="92">
                        <c:v>38.307785196407437</c:v>
                      </c:pt>
                      <c:pt idx="93">
                        <c:v>38.231169626014619</c:v>
                      </c:pt>
                      <c:pt idx="94">
                        <c:v>35.478525412941565</c:v>
                      </c:pt>
                      <c:pt idx="95">
                        <c:v>34.697997853856847</c:v>
                      </c:pt>
                      <c:pt idx="96">
                        <c:v>35.322561815226273</c:v>
                      </c:pt>
                      <c:pt idx="97">
                        <c:v>36.452883793313511</c:v>
                      </c:pt>
                      <c:pt idx="98">
                        <c:v>33.026312716742041</c:v>
                      </c:pt>
                      <c:pt idx="99">
                        <c:v>30.252102448535709</c:v>
                      </c:pt>
                      <c:pt idx="100">
                        <c:v>28.739497326108925</c:v>
                      </c:pt>
                      <c:pt idx="101">
                        <c:v>29.314287272631102</c:v>
                      </c:pt>
                      <c:pt idx="102">
                        <c:v>31.600801679896328</c:v>
                      </c:pt>
                      <c:pt idx="103">
                        <c:v>32.043212903414876</c:v>
                      </c:pt>
                      <c:pt idx="104">
                        <c:v>34.734842787301723</c:v>
                      </c:pt>
                      <c:pt idx="105">
                        <c:v>34.318024673854104</c:v>
                      </c:pt>
                      <c:pt idx="106">
                        <c:v>36.926194549067013</c:v>
                      </c:pt>
                      <c:pt idx="107">
                        <c:v>39.141766222011036</c:v>
                      </c:pt>
                      <c:pt idx="108">
                        <c:v>37.576095573130594</c:v>
                      </c:pt>
                      <c:pt idx="109">
                        <c:v>38.553074058031989</c:v>
                      </c:pt>
                      <c:pt idx="110">
                        <c:v>38.475967909915923</c:v>
                      </c:pt>
                      <c:pt idx="111">
                        <c:v>40.784525984510879</c:v>
                      </c:pt>
                      <c:pt idx="112">
                        <c:v>38.663730633316312</c:v>
                      </c:pt>
                      <c:pt idx="113">
                        <c:v>38.663730633316312</c:v>
                      </c:pt>
                      <c:pt idx="114">
                        <c:v>37.117181407983658</c:v>
                      </c:pt>
                      <c:pt idx="115">
                        <c:v>35.40979106321641</c:v>
                      </c:pt>
                      <c:pt idx="116">
                        <c:v>33.356023181549858</c:v>
                      </c:pt>
                      <c:pt idx="117">
                        <c:v>34.289991830633255</c:v>
                      </c:pt>
                      <c:pt idx="118">
                        <c:v>35.18153161822972</c:v>
                      </c:pt>
                      <c:pt idx="119">
                        <c:v>35.040805491756799</c:v>
                      </c:pt>
                      <c:pt idx="120">
                        <c:v>34.129744548971125</c:v>
                      </c:pt>
                      <c:pt idx="121">
                        <c:v>35.494934330929972</c:v>
                      </c:pt>
                      <c:pt idx="122">
                        <c:v>38.334529077404369</c:v>
                      </c:pt>
                      <c:pt idx="123">
                        <c:v>42.167981985144806</c:v>
                      </c:pt>
                      <c:pt idx="124">
                        <c:v>42.420989877055675</c:v>
                      </c:pt>
                      <c:pt idx="125">
                        <c:v>41.657412059268673</c:v>
                      </c:pt>
                      <c:pt idx="126">
                        <c:v>43.073764069283804</c:v>
                      </c:pt>
                      <c:pt idx="127">
                        <c:v>42.729173956729532</c:v>
                      </c:pt>
                      <c:pt idx="128">
                        <c:v>42.301882217162238</c:v>
                      </c:pt>
                      <c:pt idx="129">
                        <c:v>39.509957990829527</c:v>
                      </c:pt>
                      <c:pt idx="130">
                        <c:v>43.223894041967505</c:v>
                      </c:pt>
                      <c:pt idx="131">
                        <c:v>45.730879896401618</c:v>
                      </c:pt>
                      <c:pt idx="132">
                        <c:v>48.749117969564125</c:v>
                      </c:pt>
                      <c:pt idx="133">
                        <c:v>51.089075632103203</c:v>
                      </c:pt>
                      <c:pt idx="134">
                        <c:v>46.388880673949707</c:v>
                      </c:pt>
                      <c:pt idx="135">
                        <c:v>48.151658139559792</c:v>
                      </c:pt>
                      <c:pt idx="136">
                        <c:v>50.270331097700421</c:v>
                      </c:pt>
                      <c:pt idx="137">
                        <c:v>51.376278381849829</c:v>
                      </c:pt>
                      <c:pt idx="138">
                        <c:v>52.609309063014223</c:v>
                      </c:pt>
                      <c:pt idx="139">
                        <c:v>48.926657428603228</c:v>
                      </c:pt>
                      <c:pt idx="140">
                        <c:v>53.819323171463552</c:v>
                      </c:pt>
                      <c:pt idx="141">
                        <c:v>57.048482561751364</c:v>
                      </c:pt>
                      <c:pt idx="142">
                        <c:v>53.16918574755227</c:v>
                      </c:pt>
                      <c:pt idx="143">
                        <c:v>51.255095060640386</c:v>
                      </c:pt>
                      <c:pt idx="144">
                        <c:v>54.945461905006496</c:v>
                      </c:pt>
                      <c:pt idx="145">
                        <c:v>58.132298695496871</c:v>
                      </c:pt>
                      <c:pt idx="146">
                        <c:v>62.085295006790659</c:v>
                      </c:pt>
                      <c:pt idx="147">
                        <c:v>59.229371436478289</c:v>
                      </c:pt>
                      <c:pt idx="148">
                        <c:v>59.466288922224201</c:v>
                      </c:pt>
                      <c:pt idx="149">
                        <c:v>63.391063991091002</c:v>
                      </c:pt>
                      <c:pt idx="150">
                        <c:v>61.235767815393906</c:v>
                      </c:pt>
                      <c:pt idx="151">
                        <c:v>60.500938601609178</c:v>
                      </c:pt>
                      <c:pt idx="152">
                        <c:v>64.251996794908948</c:v>
                      </c:pt>
                      <c:pt idx="153">
                        <c:v>65.023020756447849</c:v>
                      </c:pt>
                      <c:pt idx="154">
                        <c:v>70.48495449998947</c:v>
                      </c:pt>
                      <c:pt idx="155">
                        <c:v>70.203014681989515</c:v>
                      </c:pt>
                      <c:pt idx="156">
                        <c:v>73.432353357361038</c:v>
                      </c:pt>
                      <c:pt idx="157">
                        <c:v>70.93565334321076</c:v>
                      </c:pt>
                      <c:pt idx="158">
                        <c:v>76.894248224040467</c:v>
                      </c:pt>
                      <c:pt idx="159">
                        <c:v>84.42988454999643</c:v>
                      </c:pt>
                      <c:pt idx="160">
                        <c:v>90.339976468496175</c:v>
                      </c:pt>
                      <c:pt idx="161">
                        <c:v>96.121734962479934</c:v>
                      </c:pt>
                      <c:pt idx="162">
                        <c:v>94.776030673005209</c:v>
                      </c:pt>
                      <c:pt idx="163">
                        <c:v>93.259614182237129</c:v>
                      </c:pt>
                      <c:pt idx="164">
                        <c:v>100.34734486008715</c:v>
                      </c:pt>
                      <c:pt idx="165">
                        <c:v>93.523725409601226</c:v>
                      </c:pt>
                      <c:pt idx="166">
                        <c:v>86.415922278471527</c:v>
                      </c:pt>
                      <c:pt idx="167">
                        <c:v>82.613621698218779</c:v>
                      </c:pt>
                      <c:pt idx="168">
                        <c:v>86.413848296336838</c:v>
                      </c:pt>
                      <c:pt idx="169">
                        <c:v>85.031226723595452</c:v>
                      </c:pt>
                      <c:pt idx="170">
                        <c:v>83.330602189123539</c:v>
                      </c:pt>
                      <c:pt idx="171">
                        <c:v>91.163678794901145</c:v>
                      </c:pt>
                      <c:pt idx="172">
                        <c:v>98.639100456083042</c:v>
                      </c:pt>
                      <c:pt idx="173">
                        <c:v>100.80916066611687</c:v>
                      </c:pt>
                      <c:pt idx="174">
                        <c:v>91.736336206166357</c:v>
                      </c:pt>
                      <c:pt idx="175">
                        <c:v>89.351191464806035</c:v>
                      </c:pt>
                      <c:pt idx="176">
                        <c:v>83.454012828128839</c:v>
                      </c:pt>
                      <c:pt idx="177">
                        <c:v>85.456909136003929</c:v>
                      </c:pt>
                      <c:pt idx="178">
                        <c:v>84.602340044643896</c:v>
                      </c:pt>
                      <c:pt idx="179">
                        <c:v>85.617568125179616</c:v>
                      </c:pt>
                      <c:pt idx="180">
                        <c:v>93.151914120195428</c:v>
                      </c:pt>
                      <c:pt idx="181">
                        <c:v>95.946471543801295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6CF-45AA-BE73-95B8E78BF7FA}"/>
                  </c:ext>
                </c:extLst>
              </c15:ser>
            </c15:filteredLineSeries>
          </c:ext>
        </c:extLst>
      </c:lineChart>
      <c:catAx>
        <c:axId val="889472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472880"/>
        <c:crosses val="autoZero"/>
        <c:auto val="1"/>
        <c:lblAlgn val="ctr"/>
        <c:lblOffset val="100"/>
        <c:noMultiLvlLbl val="0"/>
      </c:catAx>
      <c:valAx>
        <c:axId val="88947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47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Data!$C$9</c:f>
              <c:strCache>
                <c:ptCount val="1"/>
                <c:pt idx="0">
                  <c:v>RAND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Data!$C$10:$C$191</c:f>
              <c:numCache>
                <c:formatCode>General</c:formatCode>
                <c:ptCount val="182"/>
                <c:pt idx="0">
                  <c:v>0.38</c:v>
                </c:pt>
                <c:pt idx="1">
                  <c:v>0.11</c:v>
                </c:pt>
                <c:pt idx="2">
                  <c:v>0.59</c:v>
                </c:pt>
                <c:pt idx="3">
                  <c:v>0.71</c:v>
                </c:pt>
                <c:pt idx="4">
                  <c:v>0.69</c:v>
                </c:pt>
                <c:pt idx="5">
                  <c:v>0.66</c:v>
                </c:pt>
                <c:pt idx="6">
                  <c:v>0.41</c:v>
                </c:pt>
                <c:pt idx="7">
                  <c:v>0.33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0.76</c:v>
                </c:pt>
                <c:pt idx="11">
                  <c:v>0.43</c:v>
                </c:pt>
                <c:pt idx="12">
                  <c:v>0.43</c:v>
                </c:pt>
                <c:pt idx="13">
                  <c:v>0.81</c:v>
                </c:pt>
                <c:pt idx="14">
                  <c:v>0.03</c:v>
                </c:pt>
                <c:pt idx="15">
                  <c:v>0.93</c:v>
                </c:pt>
                <c:pt idx="16">
                  <c:v>0.23</c:v>
                </c:pt>
                <c:pt idx="17">
                  <c:v>0.65</c:v>
                </c:pt>
                <c:pt idx="18">
                  <c:v>0.88</c:v>
                </c:pt>
                <c:pt idx="19">
                  <c:v>0.77</c:v>
                </c:pt>
                <c:pt idx="20">
                  <c:v>0.23</c:v>
                </c:pt>
                <c:pt idx="21">
                  <c:v>0.14000000000000001</c:v>
                </c:pt>
                <c:pt idx="22">
                  <c:v>0.28999999999999998</c:v>
                </c:pt>
                <c:pt idx="23">
                  <c:v>0</c:v>
                </c:pt>
                <c:pt idx="24">
                  <c:v>0.14000000000000001</c:v>
                </c:pt>
                <c:pt idx="25">
                  <c:v>0.06</c:v>
                </c:pt>
                <c:pt idx="26">
                  <c:v>0.62</c:v>
                </c:pt>
                <c:pt idx="27">
                  <c:v>0.76</c:v>
                </c:pt>
                <c:pt idx="28">
                  <c:v>0.09</c:v>
                </c:pt>
                <c:pt idx="29">
                  <c:v>0.38</c:v>
                </c:pt>
                <c:pt idx="30">
                  <c:v>0.76</c:v>
                </c:pt>
                <c:pt idx="31">
                  <c:v>0.13</c:v>
                </c:pt>
                <c:pt idx="32">
                  <c:v>0.62</c:v>
                </c:pt>
                <c:pt idx="33">
                  <c:v>0.28999999999999998</c:v>
                </c:pt>
                <c:pt idx="34">
                  <c:v>0.12</c:v>
                </c:pt>
                <c:pt idx="35">
                  <c:v>0.95</c:v>
                </c:pt>
                <c:pt idx="36">
                  <c:v>0.76</c:v>
                </c:pt>
                <c:pt idx="37">
                  <c:v>0.14000000000000001</c:v>
                </c:pt>
                <c:pt idx="38">
                  <c:v>0.93</c:v>
                </c:pt>
                <c:pt idx="39">
                  <c:v>0.44</c:v>
                </c:pt>
                <c:pt idx="40">
                  <c:v>0.32</c:v>
                </c:pt>
                <c:pt idx="41">
                  <c:v>0.27</c:v>
                </c:pt>
                <c:pt idx="42">
                  <c:v>0.56999999999999995</c:v>
                </c:pt>
                <c:pt idx="43">
                  <c:v>0.67</c:v>
                </c:pt>
                <c:pt idx="44">
                  <c:v>0.16</c:v>
                </c:pt>
                <c:pt idx="45">
                  <c:v>0.1</c:v>
                </c:pt>
                <c:pt idx="46">
                  <c:v>0.74</c:v>
                </c:pt>
                <c:pt idx="47">
                  <c:v>0.98</c:v>
                </c:pt>
                <c:pt idx="48">
                  <c:v>0.41</c:v>
                </c:pt>
                <c:pt idx="49">
                  <c:v>0.6</c:v>
                </c:pt>
                <c:pt idx="50">
                  <c:v>0.49</c:v>
                </c:pt>
                <c:pt idx="51">
                  <c:v>0.83</c:v>
                </c:pt>
                <c:pt idx="52">
                  <c:v>0.8</c:v>
                </c:pt>
                <c:pt idx="53">
                  <c:v>0.76</c:v>
                </c:pt>
                <c:pt idx="54">
                  <c:v>0.7</c:v>
                </c:pt>
                <c:pt idx="55">
                  <c:v>0.35</c:v>
                </c:pt>
                <c:pt idx="56">
                  <c:v>0.11</c:v>
                </c:pt>
                <c:pt idx="57">
                  <c:v>0.03</c:v>
                </c:pt>
                <c:pt idx="58">
                  <c:v>0.9</c:v>
                </c:pt>
                <c:pt idx="59">
                  <c:v>0.53</c:v>
                </c:pt>
                <c:pt idx="60">
                  <c:v>0.87</c:v>
                </c:pt>
                <c:pt idx="61">
                  <c:v>0.87</c:v>
                </c:pt>
                <c:pt idx="62">
                  <c:v>0.08</c:v>
                </c:pt>
                <c:pt idx="63">
                  <c:v>0.49</c:v>
                </c:pt>
                <c:pt idx="64">
                  <c:v>0.65</c:v>
                </c:pt>
                <c:pt idx="65">
                  <c:v>0.86</c:v>
                </c:pt>
                <c:pt idx="66">
                  <c:v>0.85</c:v>
                </c:pt>
                <c:pt idx="67">
                  <c:v>0.62</c:v>
                </c:pt>
                <c:pt idx="68">
                  <c:v>0.72</c:v>
                </c:pt>
                <c:pt idx="69">
                  <c:v>0.02</c:v>
                </c:pt>
                <c:pt idx="70">
                  <c:v>0.61</c:v>
                </c:pt>
                <c:pt idx="71">
                  <c:v>0.16</c:v>
                </c:pt>
                <c:pt idx="72">
                  <c:v>0.77</c:v>
                </c:pt>
                <c:pt idx="73">
                  <c:v>0.52</c:v>
                </c:pt>
                <c:pt idx="74">
                  <c:v>0.49</c:v>
                </c:pt>
                <c:pt idx="75">
                  <c:v>0.4</c:v>
                </c:pt>
                <c:pt idx="76">
                  <c:v>0.47</c:v>
                </c:pt>
                <c:pt idx="77">
                  <c:v>0.26</c:v>
                </c:pt>
                <c:pt idx="78">
                  <c:v>0.84</c:v>
                </c:pt>
                <c:pt idx="79">
                  <c:v>1</c:v>
                </c:pt>
                <c:pt idx="80">
                  <c:v>0.24</c:v>
                </c:pt>
                <c:pt idx="81">
                  <c:v>0.64</c:v>
                </c:pt>
                <c:pt idx="82">
                  <c:v>0.19</c:v>
                </c:pt>
                <c:pt idx="83">
                  <c:v>0.36</c:v>
                </c:pt>
                <c:pt idx="84">
                  <c:v>0.55000000000000004</c:v>
                </c:pt>
                <c:pt idx="85">
                  <c:v>0.88</c:v>
                </c:pt>
                <c:pt idx="86">
                  <c:v>0.53</c:v>
                </c:pt>
                <c:pt idx="87">
                  <c:v>0.12</c:v>
                </c:pt>
                <c:pt idx="88">
                  <c:v>0.6</c:v>
                </c:pt>
                <c:pt idx="89">
                  <c:v>0.36</c:v>
                </c:pt>
                <c:pt idx="90">
                  <c:v>0.04</c:v>
                </c:pt>
                <c:pt idx="91">
                  <c:v>0.39</c:v>
                </c:pt>
                <c:pt idx="92">
                  <c:v>0.99</c:v>
                </c:pt>
                <c:pt idx="93">
                  <c:v>0.64</c:v>
                </c:pt>
                <c:pt idx="94">
                  <c:v>0.89</c:v>
                </c:pt>
                <c:pt idx="95">
                  <c:v>0.09</c:v>
                </c:pt>
                <c:pt idx="96">
                  <c:v>0.16</c:v>
                </c:pt>
                <c:pt idx="97">
                  <c:v>0.53</c:v>
                </c:pt>
                <c:pt idx="98">
                  <c:v>0.57999999999999996</c:v>
                </c:pt>
                <c:pt idx="99">
                  <c:v>0.75</c:v>
                </c:pt>
                <c:pt idx="100">
                  <c:v>0.1</c:v>
                </c:pt>
                <c:pt idx="101">
                  <c:v>0.39</c:v>
                </c:pt>
                <c:pt idx="102">
                  <c:v>7.0000000000000007E-2</c:v>
                </c:pt>
                <c:pt idx="103">
                  <c:v>0.42</c:v>
                </c:pt>
                <c:pt idx="104">
                  <c:v>0.94</c:v>
                </c:pt>
                <c:pt idx="105">
                  <c:v>0.38</c:v>
                </c:pt>
                <c:pt idx="106">
                  <c:v>0.3</c:v>
                </c:pt>
                <c:pt idx="107">
                  <c:v>0.8</c:v>
                </c:pt>
                <c:pt idx="108">
                  <c:v>0.13</c:v>
                </c:pt>
                <c:pt idx="109">
                  <c:v>0.99</c:v>
                </c:pt>
                <c:pt idx="110">
                  <c:v>0.3</c:v>
                </c:pt>
                <c:pt idx="111">
                  <c:v>0.74</c:v>
                </c:pt>
                <c:pt idx="112">
                  <c:v>1</c:v>
                </c:pt>
                <c:pt idx="113">
                  <c:v>0.8</c:v>
                </c:pt>
                <c:pt idx="114">
                  <c:v>0.77</c:v>
                </c:pt>
                <c:pt idx="115">
                  <c:v>0.71</c:v>
                </c:pt>
                <c:pt idx="116">
                  <c:v>0.14000000000000001</c:v>
                </c:pt>
                <c:pt idx="117">
                  <c:v>0.13</c:v>
                </c:pt>
                <c:pt idx="118">
                  <c:v>0.98</c:v>
                </c:pt>
                <c:pt idx="119">
                  <c:v>0.87</c:v>
                </c:pt>
                <c:pt idx="120">
                  <c:v>0.2</c:v>
                </c:pt>
                <c:pt idx="121">
                  <c:v>0.4</c:v>
                </c:pt>
                <c:pt idx="122">
                  <c:v>0.5</c:v>
                </c:pt>
                <c:pt idx="123">
                  <c:v>0.03</c:v>
                </c:pt>
                <c:pt idx="124">
                  <c:v>0.91</c:v>
                </c:pt>
                <c:pt idx="125">
                  <c:v>0.17</c:v>
                </c:pt>
                <c:pt idx="126">
                  <c:v>0.96</c:v>
                </c:pt>
                <c:pt idx="127">
                  <c:v>0.95</c:v>
                </c:pt>
                <c:pt idx="128">
                  <c:v>0.67</c:v>
                </c:pt>
                <c:pt idx="129">
                  <c:v>0.47</c:v>
                </c:pt>
                <c:pt idx="130">
                  <c:v>0.28999999999999998</c:v>
                </c:pt>
                <c:pt idx="131">
                  <c:v>0.33</c:v>
                </c:pt>
                <c:pt idx="132">
                  <c:v>0.24</c:v>
                </c:pt>
                <c:pt idx="133">
                  <c:v>0.54</c:v>
                </c:pt>
                <c:pt idx="134">
                  <c:v>0.19</c:v>
                </c:pt>
                <c:pt idx="135">
                  <c:v>0.22</c:v>
                </c:pt>
                <c:pt idx="136">
                  <c:v>0.11</c:v>
                </c:pt>
                <c:pt idx="137">
                  <c:v>0.12</c:v>
                </c:pt>
                <c:pt idx="138">
                  <c:v>0.65</c:v>
                </c:pt>
                <c:pt idx="139">
                  <c:v>0.5</c:v>
                </c:pt>
                <c:pt idx="140">
                  <c:v>0.3</c:v>
                </c:pt>
                <c:pt idx="141">
                  <c:v>0.66</c:v>
                </c:pt>
                <c:pt idx="142">
                  <c:v>0.82</c:v>
                </c:pt>
                <c:pt idx="143">
                  <c:v>0.36</c:v>
                </c:pt>
                <c:pt idx="144">
                  <c:v>0.28999999999999998</c:v>
                </c:pt>
                <c:pt idx="145">
                  <c:v>0.34</c:v>
                </c:pt>
                <c:pt idx="146">
                  <c:v>0.77</c:v>
                </c:pt>
                <c:pt idx="147">
                  <c:v>0.02</c:v>
                </c:pt>
                <c:pt idx="148">
                  <c:v>0.33</c:v>
                </c:pt>
                <c:pt idx="149">
                  <c:v>0.83</c:v>
                </c:pt>
                <c:pt idx="150">
                  <c:v>0.94</c:v>
                </c:pt>
                <c:pt idx="151">
                  <c:v>0.31</c:v>
                </c:pt>
                <c:pt idx="152">
                  <c:v>0.06</c:v>
                </c:pt>
                <c:pt idx="153">
                  <c:v>0.42</c:v>
                </c:pt>
                <c:pt idx="154">
                  <c:v>0.98</c:v>
                </c:pt>
                <c:pt idx="155">
                  <c:v>0.23</c:v>
                </c:pt>
                <c:pt idx="156">
                  <c:v>0.83</c:v>
                </c:pt>
                <c:pt idx="157">
                  <c:v>0.42</c:v>
                </c:pt>
                <c:pt idx="158">
                  <c:v>0.49</c:v>
                </c:pt>
                <c:pt idx="159">
                  <c:v>0.35</c:v>
                </c:pt>
                <c:pt idx="160">
                  <c:v>0.32</c:v>
                </c:pt>
                <c:pt idx="161">
                  <c:v>0.93</c:v>
                </c:pt>
                <c:pt idx="162">
                  <c:v>0.92</c:v>
                </c:pt>
                <c:pt idx="163">
                  <c:v>0.38</c:v>
                </c:pt>
                <c:pt idx="164">
                  <c:v>0.66</c:v>
                </c:pt>
                <c:pt idx="165">
                  <c:v>0.62</c:v>
                </c:pt>
                <c:pt idx="166">
                  <c:v>0.78</c:v>
                </c:pt>
                <c:pt idx="167">
                  <c:v>0.23</c:v>
                </c:pt>
                <c:pt idx="168">
                  <c:v>0.92</c:v>
                </c:pt>
                <c:pt idx="169">
                  <c:v>0.9</c:v>
                </c:pt>
                <c:pt idx="170">
                  <c:v>0.47</c:v>
                </c:pt>
                <c:pt idx="171">
                  <c:v>0.41</c:v>
                </c:pt>
                <c:pt idx="172">
                  <c:v>0.11</c:v>
                </c:pt>
                <c:pt idx="173">
                  <c:v>0.55000000000000004</c:v>
                </c:pt>
                <c:pt idx="174">
                  <c:v>0.87</c:v>
                </c:pt>
                <c:pt idx="175">
                  <c:v>0.67</c:v>
                </c:pt>
                <c:pt idx="176">
                  <c:v>0.12</c:v>
                </c:pt>
                <c:pt idx="177">
                  <c:v>0.95</c:v>
                </c:pt>
                <c:pt idx="178">
                  <c:v>0.06</c:v>
                </c:pt>
                <c:pt idx="179">
                  <c:v>0.44</c:v>
                </c:pt>
                <c:pt idx="180">
                  <c:v>0.15</c:v>
                </c:pt>
                <c:pt idx="181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6-4469-A2AA-C7080473228F}"/>
            </c:ext>
          </c:extLst>
        </c:ser>
        <c:ser>
          <c:idx val="2"/>
          <c:order val="2"/>
          <c:tx>
            <c:strRef>
              <c:f>Data!$D$9</c:f>
              <c:strCache>
                <c:ptCount val="1"/>
                <c:pt idx="0">
                  <c:v>Change Percent (step1)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Data!$D$10:$D$191</c:f>
              <c:numCache>
                <c:formatCode>General</c:formatCode>
                <c:ptCount val="182"/>
                <c:pt idx="0">
                  <c:v>7.6</c:v>
                </c:pt>
                <c:pt idx="1">
                  <c:v>2.2000000000000002</c:v>
                </c:pt>
                <c:pt idx="2">
                  <c:v>11.799999999999999</c:v>
                </c:pt>
                <c:pt idx="3">
                  <c:v>14.2</c:v>
                </c:pt>
                <c:pt idx="4">
                  <c:v>13.799999999999999</c:v>
                </c:pt>
                <c:pt idx="5">
                  <c:v>13.200000000000001</c:v>
                </c:pt>
                <c:pt idx="6">
                  <c:v>8.1999999999999993</c:v>
                </c:pt>
                <c:pt idx="7">
                  <c:v>6.6000000000000005</c:v>
                </c:pt>
                <c:pt idx="8">
                  <c:v>10</c:v>
                </c:pt>
                <c:pt idx="9">
                  <c:v>11</c:v>
                </c:pt>
                <c:pt idx="10">
                  <c:v>15.2</c:v>
                </c:pt>
                <c:pt idx="11">
                  <c:v>8.6</c:v>
                </c:pt>
                <c:pt idx="12">
                  <c:v>8.6</c:v>
                </c:pt>
                <c:pt idx="13">
                  <c:v>16.200000000000003</c:v>
                </c:pt>
                <c:pt idx="14">
                  <c:v>0.6</c:v>
                </c:pt>
                <c:pt idx="15">
                  <c:v>18.600000000000001</c:v>
                </c:pt>
                <c:pt idx="16">
                  <c:v>4.6000000000000005</c:v>
                </c:pt>
                <c:pt idx="17">
                  <c:v>13</c:v>
                </c:pt>
                <c:pt idx="18">
                  <c:v>17.600000000000001</c:v>
                </c:pt>
                <c:pt idx="19">
                  <c:v>15.4</c:v>
                </c:pt>
                <c:pt idx="20">
                  <c:v>4.6000000000000005</c:v>
                </c:pt>
                <c:pt idx="21">
                  <c:v>2.8000000000000003</c:v>
                </c:pt>
                <c:pt idx="22">
                  <c:v>5.8</c:v>
                </c:pt>
                <c:pt idx="23">
                  <c:v>0</c:v>
                </c:pt>
                <c:pt idx="24">
                  <c:v>2.8000000000000003</c:v>
                </c:pt>
                <c:pt idx="25">
                  <c:v>1.2</c:v>
                </c:pt>
                <c:pt idx="26">
                  <c:v>12.4</c:v>
                </c:pt>
                <c:pt idx="27">
                  <c:v>15.2</c:v>
                </c:pt>
                <c:pt idx="28">
                  <c:v>1.7999999999999998</c:v>
                </c:pt>
                <c:pt idx="29">
                  <c:v>7.6</c:v>
                </c:pt>
                <c:pt idx="30">
                  <c:v>15.2</c:v>
                </c:pt>
                <c:pt idx="31">
                  <c:v>2.6</c:v>
                </c:pt>
                <c:pt idx="32">
                  <c:v>12.4</c:v>
                </c:pt>
                <c:pt idx="33">
                  <c:v>5.8</c:v>
                </c:pt>
                <c:pt idx="34">
                  <c:v>2.4</c:v>
                </c:pt>
                <c:pt idx="35">
                  <c:v>19</c:v>
                </c:pt>
                <c:pt idx="36">
                  <c:v>15.2</c:v>
                </c:pt>
                <c:pt idx="37">
                  <c:v>2.8000000000000003</c:v>
                </c:pt>
                <c:pt idx="38">
                  <c:v>18.600000000000001</c:v>
                </c:pt>
                <c:pt idx="39">
                  <c:v>8.8000000000000007</c:v>
                </c:pt>
                <c:pt idx="40">
                  <c:v>6.4</c:v>
                </c:pt>
                <c:pt idx="41">
                  <c:v>5.4</c:v>
                </c:pt>
                <c:pt idx="42">
                  <c:v>11.399999999999999</c:v>
                </c:pt>
                <c:pt idx="43">
                  <c:v>13.4</c:v>
                </c:pt>
                <c:pt idx="44">
                  <c:v>3.2</c:v>
                </c:pt>
                <c:pt idx="45">
                  <c:v>2</c:v>
                </c:pt>
                <c:pt idx="46">
                  <c:v>14.8</c:v>
                </c:pt>
                <c:pt idx="47">
                  <c:v>19.600000000000001</c:v>
                </c:pt>
                <c:pt idx="48">
                  <c:v>8.1999999999999993</c:v>
                </c:pt>
                <c:pt idx="49">
                  <c:v>12</c:v>
                </c:pt>
                <c:pt idx="50">
                  <c:v>9.8000000000000007</c:v>
                </c:pt>
                <c:pt idx="51">
                  <c:v>16.599999999999998</c:v>
                </c:pt>
                <c:pt idx="52">
                  <c:v>16</c:v>
                </c:pt>
                <c:pt idx="53">
                  <c:v>15.2</c:v>
                </c:pt>
                <c:pt idx="54">
                  <c:v>14</c:v>
                </c:pt>
                <c:pt idx="55">
                  <c:v>7</c:v>
                </c:pt>
                <c:pt idx="56">
                  <c:v>2.2000000000000002</c:v>
                </c:pt>
                <c:pt idx="57">
                  <c:v>0.6</c:v>
                </c:pt>
                <c:pt idx="58">
                  <c:v>18</c:v>
                </c:pt>
                <c:pt idx="59">
                  <c:v>10.600000000000001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1.6</c:v>
                </c:pt>
                <c:pt idx="63">
                  <c:v>9.8000000000000007</c:v>
                </c:pt>
                <c:pt idx="64">
                  <c:v>13</c:v>
                </c:pt>
                <c:pt idx="65">
                  <c:v>17.2</c:v>
                </c:pt>
                <c:pt idx="66">
                  <c:v>17</c:v>
                </c:pt>
                <c:pt idx="67">
                  <c:v>12.4</c:v>
                </c:pt>
                <c:pt idx="68">
                  <c:v>14.399999999999999</c:v>
                </c:pt>
                <c:pt idx="69">
                  <c:v>0.4</c:v>
                </c:pt>
                <c:pt idx="70">
                  <c:v>12.2</c:v>
                </c:pt>
                <c:pt idx="71">
                  <c:v>3.2</c:v>
                </c:pt>
                <c:pt idx="72">
                  <c:v>15.4</c:v>
                </c:pt>
                <c:pt idx="73">
                  <c:v>10.4</c:v>
                </c:pt>
                <c:pt idx="74">
                  <c:v>9.8000000000000007</c:v>
                </c:pt>
                <c:pt idx="75">
                  <c:v>8</c:v>
                </c:pt>
                <c:pt idx="76">
                  <c:v>9.3999999999999986</c:v>
                </c:pt>
                <c:pt idx="77">
                  <c:v>5.2</c:v>
                </c:pt>
                <c:pt idx="78">
                  <c:v>16.8</c:v>
                </c:pt>
                <c:pt idx="79">
                  <c:v>20</c:v>
                </c:pt>
                <c:pt idx="80">
                  <c:v>4.8</c:v>
                </c:pt>
                <c:pt idx="81">
                  <c:v>12.8</c:v>
                </c:pt>
                <c:pt idx="82">
                  <c:v>3.8</c:v>
                </c:pt>
                <c:pt idx="83">
                  <c:v>7.1999999999999993</c:v>
                </c:pt>
                <c:pt idx="84">
                  <c:v>11</c:v>
                </c:pt>
                <c:pt idx="85">
                  <c:v>17.600000000000001</c:v>
                </c:pt>
                <c:pt idx="86">
                  <c:v>10.600000000000001</c:v>
                </c:pt>
                <c:pt idx="87">
                  <c:v>2.4</c:v>
                </c:pt>
                <c:pt idx="88">
                  <c:v>12</c:v>
                </c:pt>
                <c:pt idx="89">
                  <c:v>7.1999999999999993</c:v>
                </c:pt>
                <c:pt idx="90">
                  <c:v>0.8</c:v>
                </c:pt>
                <c:pt idx="91">
                  <c:v>7.8000000000000007</c:v>
                </c:pt>
                <c:pt idx="92">
                  <c:v>19.8</c:v>
                </c:pt>
                <c:pt idx="93">
                  <c:v>12.8</c:v>
                </c:pt>
                <c:pt idx="94">
                  <c:v>17.8</c:v>
                </c:pt>
                <c:pt idx="95">
                  <c:v>1.7999999999999998</c:v>
                </c:pt>
                <c:pt idx="96">
                  <c:v>3.2</c:v>
                </c:pt>
                <c:pt idx="97">
                  <c:v>10.600000000000001</c:v>
                </c:pt>
                <c:pt idx="98">
                  <c:v>11.6</c:v>
                </c:pt>
                <c:pt idx="99">
                  <c:v>15</c:v>
                </c:pt>
                <c:pt idx="100">
                  <c:v>2</c:v>
                </c:pt>
                <c:pt idx="101">
                  <c:v>7.8000000000000007</c:v>
                </c:pt>
                <c:pt idx="102">
                  <c:v>1.4000000000000001</c:v>
                </c:pt>
                <c:pt idx="103">
                  <c:v>8.4</c:v>
                </c:pt>
                <c:pt idx="104">
                  <c:v>18.799999999999997</c:v>
                </c:pt>
                <c:pt idx="105">
                  <c:v>7.6</c:v>
                </c:pt>
                <c:pt idx="106">
                  <c:v>6</c:v>
                </c:pt>
                <c:pt idx="107">
                  <c:v>16</c:v>
                </c:pt>
                <c:pt idx="108">
                  <c:v>2.6</c:v>
                </c:pt>
                <c:pt idx="109">
                  <c:v>19.8</c:v>
                </c:pt>
                <c:pt idx="110">
                  <c:v>6</c:v>
                </c:pt>
                <c:pt idx="111">
                  <c:v>14.8</c:v>
                </c:pt>
                <c:pt idx="112">
                  <c:v>20</c:v>
                </c:pt>
                <c:pt idx="113">
                  <c:v>16</c:v>
                </c:pt>
                <c:pt idx="114">
                  <c:v>15.4</c:v>
                </c:pt>
                <c:pt idx="115">
                  <c:v>14.2</c:v>
                </c:pt>
                <c:pt idx="116">
                  <c:v>2.8000000000000003</c:v>
                </c:pt>
                <c:pt idx="117">
                  <c:v>2.6</c:v>
                </c:pt>
                <c:pt idx="118">
                  <c:v>19.600000000000001</c:v>
                </c:pt>
                <c:pt idx="119">
                  <c:v>17.399999999999999</c:v>
                </c:pt>
                <c:pt idx="120">
                  <c:v>4</c:v>
                </c:pt>
                <c:pt idx="121">
                  <c:v>8</c:v>
                </c:pt>
                <c:pt idx="122">
                  <c:v>10</c:v>
                </c:pt>
                <c:pt idx="123">
                  <c:v>0.6</c:v>
                </c:pt>
                <c:pt idx="124">
                  <c:v>18.2</c:v>
                </c:pt>
                <c:pt idx="125">
                  <c:v>3.4000000000000004</c:v>
                </c:pt>
                <c:pt idx="126">
                  <c:v>19.2</c:v>
                </c:pt>
                <c:pt idx="127">
                  <c:v>19</c:v>
                </c:pt>
                <c:pt idx="128">
                  <c:v>13.4</c:v>
                </c:pt>
                <c:pt idx="129">
                  <c:v>9.3999999999999986</c:v>
                </c:pt>
                <c:pt idx="130">
                  <c:v>5.8</c:v>
                </c:pt>
                <c:pt idx="131">
                  <c:v>6.6000000000000005</c:v>
                </c:pt>
                <c:pt idx="132">
                  <c:v>4.8</c:v>
                </c:pt>
                <c:pt idx="133">
                  <c:v>10.8</c:v>
                </c:pt>
                <c:pt idx="134">
                  <c:v>3.8</c:v>
                </c:pt>
                <c:pt idx="135">
                  <c:v>4.4000000000000004</c:v>
                </c:pt>
                <c:pt idx="136">
                  <c:v>2.2000000000000002</c:v>
                </c:pt>
                <c:pt idx="137">
                  <c:v>2.4</c:v>
                </c:pt>
                <c:pt idx="138">
                  <c:v>13</c:v>
                </c:pt>
                <c:pt idx="139">
                  <c:v>10</c:v>
                </c:pt>
                <c:pt idx="140">
                  <c:v>6</c:v>
                </c:pt>
                <c:pt idx="141">
                  <c:v>13.200000000000001</c:v>
                </c:pt>
                <c:pt idx="142">
                  <c:v>16.399999999999999</c:v>
                </c:pt>
                <c:pt idx="143">
                  <c:v>7.1999999999999993</c:v>
                </c:pt>
                <c:pt idx="144">
                  <c:v>5.8</c:v>
                </c:pt>
                <c:pt idx="145">
                  <c:v>6.8000000000000007</c:v>
                </c:pt>
                <c:pt idx="146">
                  <c:v>15.4</c:v>
                </c:pt>
                <c:pt idx="147">
                  <c:v>0.4</c:v>
                </c:pt>
                <c:pt idx="148">
                  <c:v>6.6000000000000005</c:v>
                </c:pt>
                <c:pt idx="149">
                  <c:v>16.599999999999998</c:v>
                </c:pt>
                <c:pt idx="150">
                  <c:v>18.799999999999997</c:v>
                </c:pt>
                <c:pt idx="151">
                  <c:v>6.2</c:v>
                </c:pt>
                <c:pt idx="152">
                  <c:v>1.2</c:v>
                </c:pt>
                <c:pt idx="153">
                  <c:v>8.4</c:v>
                </c:pt>
                <c:pt idx="154">
                  <c:v>19.600000000000001</c:v>
                </c:pt>
                <c:pt idx="155">
                  <c:v>4.6000000000000005</c:v>
                </c:pt>
                <c:pt idx="156">
                  <c:v>16.599999999999998</c:v>
                </c:pt>
                <c:pt idx="157">
                  <c:v>8.4</c:v>
                </c:pt>
                <c:pt idx="158">
                  <c:v>9.8000000000000007</c:v>
                </c:pt>
                <c:pt idx="159">
                  <c:v>7</c:v>
                </c:pt>
                <c:pt idx="160">
                  <c:v>6.4</c:v>
                </c:pt>
                <c:pt idx="161">
                  <c:v>18.600000000000001</c:v>
                </c:pt>
                <c:pt idx="162">
                  <c:v>18.400000000000002</c:v>
                </c:pt>
                <c:pt idx="163">
                  <c:v>7.6</c:v>
                </c:pt>
                <c:pt idx="164">
                  <c:v>13.200000000000001</c:v>
                </c:pt>
                <c:pt idx="165">
                  <c:v>12.4</c:v>
                </c:pt>
                <c:pt idx="166">
                  <c:v>15.600000000000001</c:v>
                </c:pt>
                <c:pt idx="167">
                  <c:v>4.6000000000000005</c:v>
                </c:pt>
                <c:pt idx="168">
                  <c:v>18.400000000000002</c:v>
                </c:pt>
                <c:pt idx="169">
                  <c:v>18</c:v>
                </c:pt>
                <c:pt idx="170">
                  <c:v>9.3999999999999986</c:v>
                </c:pt>
                <c:pt idx="171">
                  <c:v>8.1999999999999993</c:v>
                </c:pt>
                <c:pt idx="172">
                  <c:v>2.2000000000000002</c:v>
                </c:pt>
                <c:pt idx="173">
                  <c:v>11</c:v>
                </c:pt>
                <c:pt idx="174">
                  <c:v>17.399999999999999</c:v>
                </c:pt>
                <c:pt idx="175">
                  <c:v>13.4</c:v>
                </c:pt>
                <c:pt idx="176">
                  <c:v>2.4</c:v>
                </c:pt>
                <c:pt idx="177">
                  <c:v>19</c:v>
                </c:pt>
                <c:pt idx="178">
                  <c:v>1.2</c:v>
                </c:pt>
                <c:pt idx="179">
                  <c:v>8.8000000000000007</c:v>
                </c:pt>
                <c:pt idx="180">
                  <c:v>3</c:v>
                </c:pt>
                <c:pt idx="18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6-4469-A2AA-C7080473228F}"/>
            </c:ext>
          </c:extLst>
        </c:ser>
        <c:ser>
          <c:idx val="3"/>
          <c:order val="3"/>
          <c:tx>
            <c:strRef>
              <c:f>Data!$E$9</c:f>
              <c:strCache>
                <c:ptCount val="1"/>
                <c:pt idx="0">
                  <c:v>Change Percent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Data!$E$10:$E$191</c:f>
              <c:numCache>
                <c:formatCode>General</c:formatCode>
                <c:ptCount val="182"/>
                <c:pt idx="0">
                  <c:v>7.6</c:v>
                </c:pt>
                <c:pt idx="1">
                  <c:v>2.2000000000000002</c:v>
                </c:pt>
                <c:pt idx="2">
                  <c:v>-8.2000000000000011</c:v>
                </c:pt>
                <c:pt idx="3">
                  <c:v>-5.8000000000000007</c:v>
                </c:pt>
                <c:pt idx="4">
                  <c:v>-6.2000000000000011</c:v>
                </c:pt>
                <c:pt idx="5">
                  <c:v>-6.7999999999999989</c:v>
                </c:pt>
                <c:pt idx="6">
                  <c:v>8.1999999999999993</c:v>
                </c:pt>
                <c:pt idx="7">
                  <c:v>6.6000000000000005</c:v>
                </c:pt>
                <c:pt idx="8">
                  <c:v>10</c:v>
                </c:pt>
                <c:pt idx="9">
                  <c:v>-9</c:v>
                </c:pt>
                <c:pt idx="10">
                  <c:v>-4.8000000000000007</c:v>
                </c:pt>
                <c:pt idx="11">
                  <c:v>8.6</c:v>
                </c:pt>
                <c:pt idx="12">
                  <c:v>8.6</c:v>
                </c:pt>
                <c:pt idx="13">
                  <c:v>-3.7999999999999972</c:v>
                </c:pt>
                <c:pt idx="14">
                  <c:v>0.6</c:v>
                </c:pt>
                <c:pt idx="15">
                  <c:v>-1.3999999999999986</c:v>
                </c:pt>
                <c:pt idx="16">
                  <c:v>4.6000000000000005</c:v>
                </c:pt>
                <c:pt idx="17">
                  <c:v>-7</c:v>
                </c:pt>
                <c:pt idx="18">
                  <c:v>-2.3999999999999986</c:v>
                </c:pt>
                <c:pt idx="19">
                  <c:v>-4.5999999999999996</c:v>
                </c:pt>
                <c:pt idx="20">
                  <c:v>4.6000000000000005</c:v>
                </c:pt>
                <c:pt idx="21">
                  <c:v>2.8000000000000003</c:v>
                </c:pt>
                <c:pt idx="22">
                  <c:v>5.8</c:v>
                </c:pt>
                <c:pt idx="23">
                  <c:v>0</c:v>
                </c:pt>
                <c:pt idx="24">
                  <c:v>2.8000000000000003</c:v>
                </c:pt>
                <c:pt idx="25">
                  <c:v>1.2</c:v>
                </c:pt>
                <c:pt idx="26">
                  <c:v>-7.6</c:v>
                </c:pt>
                <c:pt idx="27">
                  <c:v>-4.8000000000000007</c:v>
                </c:pt>
                <c:pt idx="28">
                  <c:v>1.7999999999999998</c:v>
                </c:pt>
                <c:pt idx="29">
                  <c:v>7.6</c:v>
                </c:pt>
                <c:pt idx="30">
                  <c:v>-4.8000000000000007</c:v>
                </c:pt>
                <c:pt idx="31">
                  <c:v>2.6</c:v>
                </c:pt>
                <c:pt idx="32">
                  <c:v>-7.6</c:v>
                </c:pt>
                <c:pt idx="33">
                  <c:v>5.8</c:v>
                </c:pt>
                <c:pt idx="34">
                  <c:v>2.4</c:v>
                </c:pt>
                <c:pt idx="35">
                  <c:v>-1</c:v>
                </c:pt>
                <c:pt idx="36">
                  <c:v>-4.8000000000000007</c:v>
                </c:pt>
                <c:pt idx="37">
                  <c:v>2.8000000000000003</c:v>
                </c:pt>
                <c:pt idx="38">
                  <c:v>-1.3999999999999986</c:v>
                </c:pt>
                <c:pt idx="39">
                  <c:v>8.8000000000000007</c:v>
                </c:pt>
                <c:pt idx="40">
                  <c:v>6.4</c:v>
                </c:pt>
                <c:pt idx="41">
                  <c:v>5.4</c:v>
                </c:pt>
                <c:pt idx="42">
                  <c:v>-8.6000000000000014</c:v>
                </c:pt>
                <c:pt idx="43">
                  <c:v>-6.6</c:v>
                </c:pt>
                <c:pt idx="44">
                  <c:v>3.2</c:v>
                </c:pt>
                <c:pt idx="45">
                  <c:v>2</c:v>
                </c:pt>
                <c:pt idx="46">
                  <c:v>-5.1999999999999993</c:v>
                </c:pt>
                <c:pt idx="47">
                  <c:v>-0.39999999999999858</c:v>
                </c:pt>
                <c:pt idx="48">
                  <c:v>8.1999999999999993</c:v>
                </c:pt>
                <c:pt idx="49">
                  <c:v>-8</c:v>
                </c:pt>
                <c:pt idx="50">
                  <c:v>9.8000000000000007</c:v>
                </c:pt>
                <c:pt idx="51">
                  <c:v>-3.4000000000000021</c:v>
                </c:pt>
                <c:pt idx="52">
                  <c:v>-4</c:v>
                </c:pt>
                <c:pt idx="53">
                  <c:v>-4.8000000000000007</c:v>
                </c:pt>
                <c:pt idx="54">
                  <c:v>-6</c:v>
                </c:pt>
                <c:pt idx="55">
                  <c:v>7</c:v>
                </c:pt>
                <c:pt idx="56">
                  <c:v>2.2000000000000002</c:v>
                </c:pt>
                <c:pt idx="57">
                  <c:v>0.6</c:v>
                </c:pt>
                <c:pt idx="58">
                  <c:v>-2</c:v>
                </c:pt>
                <c:pt idx="59">
                  <c:v>-9.3999999999999986</c:v>
                </c:pt>
                <c:pt idx="60">
                  <c:v>-2.6000000000000014</c:v>
                </c:pt>
                <c:pt idx="61">
                  <c:v>-2.6000000000000014</c:v>
                </c:pt>
                <c:pt idx="62">
                  <c:v>1.6</c:v>
                </c:pt>
                <c:pt idx="63">
                  <c:v>9.8000000000000007</c:v>
                </c:pt>
                <c:pt idx="64">
                  <c:v>-7</c:v>
                </c:pt>
                <c:pt idx="65">
                  <c:v>-2.8000000000000007</c:v>
                </c:pt>
                <c:pt idx="66">
                  <c:v>-3</c:v>
                </c:pt>
                <c:pt idx="67">
                  <c:v>-7.6</c:v>
                </c:pt>
                <c:pt idx="68">
                  <c:v>-5.6000000000000014</c:v>
                </c:pt>
                <c:pt idx="69">
                  <c:v>0.4</c:v>
                </c:pt>
                <c:pt idx="70">
                  <c:v>-7.8000000000000007</c:v>
                </c:pt>
                <c:pt idx="71">
                  <c:v>3.2</c:v>
                </c:pt>
                <c:pt idx="72">
                  <c:v>-4.5999999999999996</c:v>
                </c:pt>
                <c:pt idx="73">
                  <c:v>-9.6</c:v>
                </c:pt>
                <c:pt idx="74">
                  <c:v>9.8000000000000007</c:v>
                </c:pt>
                <c:pt idx="75">
                  <c:v>8</c:v>
                </c:pt>
                <c:pt idx="76">
                  <c:v>9.3999999999999986</c:v>
                </c:pt>
                <c:pt idx="77">
                  <c:v>5.2</c:v>
                </c:pt>
                <c:pt idx="78">
                  <c:v>-3.1999999999999993</c:v>
                </c:pt>
                <c:pt idx="79">
                  <c:v>0</c:v>
                </c:pt>
                <c:pt idx="80">
                  <c:v>4.8</c:v>
                </c:pt>
                <c:pt idx="81">
                  <c:v>-7.1999999999999993</c:v>
                </c:pt>
                <c:pt idx="82">
                  <c:v>3.8</c:v>
                </c:pt>
                <c:pt idx="83">
                  <c:v>7.1999999999999993</c:v>
                </c:pt>
                <c:pt idx="84">
                  <c:v>-9</c:v>
                </c:pt>
                <c:pt idx="85">
                  <c:v>-2.3999999999999986</c:v>
                </c:pt>
                <c:pt idx="86">
                  <c:v>-9.3999999999999986</c:v>
                </c:pt>
                <c:pt idx="87">
                  <c:v>2.4</c:v>
                </c:pt>
                <c:pt idx="88">
                  <c:v>-8</c:v>
                </c:pt>
                <c:pt idx="89">
                  <c:v>7.1999999999999993</c:v>
                </c:pt>
                <c:pt idx="90">
                  <c:v>0.8</c:v>
                </c:pt>
                <c:pt idx="91">
                  <c:v>7.8000000000000007</c:v>
                </c:pt>
                <c:pt idx="92">
                  <c:v>-0.19999999999999929</c:v>
                </c:pt>
                <c:pt idx="93">
                  <c:v>-7.1999999999999993</c:v>
                </c:pt>
                <c:pt idx="94">
                  <c:v>-2.1999999999999993</c:v>
                </c:pt>
                <c:pt idx="95">
                  <c:v>1.7999999999999998</c:v>
                </c:pt>
                <c:pt idx="96">
                  <c:v>3.2</c:v>
                </c:pt>
                <c:pt idx="97">
                  <c:v>-9.3999999999999986</c:v>
                </c:pt>
                <c:pt idx="98">
                  <c:v>-8.4</c:v>
                </c:pt>
                <c:pt idx="99">
                  <c:v>-5</c:v>
                </c:pt>
                <c:pt idx="100">
                  <c:v>2</c:v>
                </c:pt>
                <c:pt idx="101">
                  <c:v>7.8000000000000007</c:v>
                </c:pt>
                <c:pt idx="102">
                  <c:v>1.4000000000000001</c:v>
                </c:pt>
                <c:pt idx="103">
                  <c:v>8.4</c:v>
                </c:pt>
                <c:pt idx="104">
                  <c:v>-1.2000000000000028</c:v>
                </c:pt>
                <c:pt idx="105">
                  <c:v>7.6</c:v>
                </c:pt>
                <c:pt idx="106">
                  <c:v>6</c:v>
                </c:pt>
                <c:pt idx="107">
                  <c:v>-4</c:v>
                </c:pt>
                <c:pt idx="108">
                  <c:v>2.6</c:v>
                </c:pt>
                <c:pt idx="109">
                  <c:v>-0.19999999999999929</c:v>
                </c:pt>
                <c:pt idx="110">
                  <c:v>6</c:v>
                </c:pt>
                <c:pt idx="111">
                  <c:v>-5.1999999999999993</c:v>
                </c:pt>
                <c:pt idx="112">
                  <c:v>0</c:v>
                </c:pt>
                <c:pt idx="113">
                  <c:v>-4</c:v>
                </c:pt>
                <c:pt idx="114">
                  <c:v>-4.5999999999999996</c:v>
                </c:pt>
                <c:pt idx="115">
                  <c:v>-5.8000000000000007</c:v>
                </c:pt>
                <c:pt idx="116">
                  <c:v>2.8000000000000003</c:v>
                </c:pt>
                <c:pt idx="117">
                  <c:v>2.6</c:v>
                </c:pt>
                <c:pt idx="118">
                  <c:v>-0.39999999999999858</c:v>
                </c:pt>
                <c:pt idx="119">
                  <c:v>-2.6000000000000014</c:v>
                </c:pt>
                <c:pt idx="120">
                  <c:v>4</c:v>
                </c:pt>
                <c:pt idx="121">
                  <c:v>8</c:v>
                </c:pt>
                <c:pt idx="122">
                  <c:v>10</c:v>
                </c:pt>
                <c:pt idx="123">
                  <c:v>0.6</c:v>
                </c:pt>
                <c:pt idx="124">
                  <c:v>-1.8000000000000007</c:v>
                </c:pt>
                <c:pt idx="125">
                  <c:v>3.4000000000000004</c:v>
                </c:pt>
                <c:pt idx="126">
                  <c:v>-0.80000000000000071</c:v>
                </c:pt>
                <c:pt idx="127">
                  <c:v>-1</c:v>
                </c:pt>
                <c:pt idx="128">
                  <c:v>-6.6</c:v>
                </c:pt>
                <c:pt idx="129">
                  <c:v>9.3999999999999986</c:v>
                </c:pt>
                <c:pt idx="130">
                  <c:v>5.8</c:v>
                </c:pt>
                <c:pt idx="131">
                  <c:v>6.6000000000000005</c:v>
                </c:pt>
                <c:pt idx="132">
                  <c:v>4.8</c:v>
                </c:pt>
                <c:pt idx="133">
                  <c:v>-9.1999999999999993</c:v>
                </c:pt>
                <c:pt idx="134">
                  <c:v>3.8</c:v>
                </c:pt>
                <c:pt idx="135">
                  <c:v>4.4000000000000004</c:v>
                </c:pt>
                <c:pt idx="136">
                  <c:v>2.2000000000000002</c:v>
                </c:pt>
                <c:pt idx="137">
                  <c:v>2.4</c:v>
                </c:pt>
                <c:pt idx="138">
                  <c:v>-7</c:v>
                </c:pt>
                <c:pt idx="139">
                  <c:v>10</c:v>
                </c:pt>
                <c:pt idx="140">
                  <c:v>6</c:v>
                </c:pt>
                <c:pt idx="141">
                  <c:v>-6.7999999999999989</c:v>
                </c:pt>
                <c:pt idx="142">
                  <c:v>-3.6000000000000014</c:v>
                </c:pt>
                <c:pt idx="143">
                  <c:v>7.1999999999999993</c:v>
                </c:pt>
                <c:pt idx="144">
                  <c:v>5.8</c:v>
                </c:pt>
                <c:pt idx="145">
                  <c:v>6.8000000000000007</c:v>
                </c:pt>
                <c:pt idx="146">
                  <c:v>-4.5999999999999996</c:v>
                </c:pt>
                <c:pt idx="147">
                  <c:v>0.4</c:v>
                </c:pt>
                <c:pt idx="148">
                  <c:v>6.6000000000000005</c:v>
                </c:pt>
                <c:pt idx="149">
                  <c:v>-3.4000000000000021</c:v>
                </c:pt>
                <c:pt idx="150">
                  <c:v>-1.2000000000000028</c:v>
                </c:pt>
                <c:pt idx="151">
                  <c:v>6.2</c:v>
                </c:pt>
                <c:pt idx="152">
                  <c:v>1.2</c:v>
                </c:pt>
                <c:pt idx="153">
                  <c:v>8.4</c:v>
                </c:pt>
                <c:pt idx="154">
                  <c:v>-0.39999999999999858</c:v>
                </c:pt>
                <c:pt idx="155">
                  <c:v>4.6000000000000005</c:v>
                </c:pt>
                <c:pt idx="156">
                  <c:v>-3.4000000000000021</c:v>
                </c:pt>
                <c:pt idx="157">
                  <c:v>8.4</c:v>
                </c:pt>
                <c:pt idx="158">
                  <c:v>9.8000000000000007</c:v>
                </c:pt>
                <c:pt idx="159">
                  <c:v>7</c:v>
                </c:pt>
                <c:pt idx="160">
                  <c:v>6.4</c:v>
                </c:pt>
                <c:pt idx="161">
                  <c:v>-1.3999999999999986</c:v>
                </c:pt>
                <c:pt idx="162">
                  <c:v>-1.5999999999999979</c:v>
                </c:pt>
                <c:pt idx="163">
                  <c:v>7.6</c:v>
                </c:pt>
                <c:pt idx="164">
                  <c:v>-6.7999999999999989</c:v>
                </c:pt>
                <c:pt idx="165">
                  <c:v>-7.6</c:v>
                </c:pt>
                <c:pt idx="166">
                  <c:v>-4.3999999999999986</c:v>
                </c:pt>
                <c:pt idx="167">
                  <c:v>4.6000000000000005</c:v>
                </c:pt>
                <c:pt idx="168">
                  <c:v>-1.5999999999999979</c:v>
                </c:pt>
                <c:pt idx="169">
                  <c:v>-2</c:v>
                </c:pt>
                <c:pt idx="170">
                  <c:v>9.3999999999999986</c:v>
                </c:pt>
                <c:pt idx="171">
                  <c:v>8.1999999999999993</c:v>
                </c:pt>
                <c:pt idx="172">
                  <c:v>2.2000000000000002</c:v>
                </c:pt>
                <c:pt idx="173">
                  <c:v>-9</c:v>
                </c:pt>
                <c:pt idx="174">
                  <c:v>-2.6000000000000014</c:v>
                </c:pt>
                <c:pt idx="175">
                  <c:v>-6.6</c:v>
                </c:pt>
                <c:pt idx="176">
                  <c:v>2.4</c:v>
                </c:pt>
                <c:pt idx="177">
                  <c:v>-1</c:v>
                </c:pt>
                <c:pt idx="178">
                  <c:v>1.2</c:v>
                </c:pt>
                <c:pt idx="179">
                  <c:v>8.8000000000000007</c:v>
                </c:pt>
                <c:pt idx="180">
                  <c:v>3</c:v>
                </c:pt>
                <c:pt idx="18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6-4469-A2AA-C7080473228F}"/>
            </c:ext>
          </c:extLst>
        </c:ser>
        <c:ser>
          <c:idx val="4"/>
          <c:order val="4"/>
          <c:tx>
            <c:strRef>
              <c:f>Data!$F$9</c:f>
              <c:strCache>
                <c:ptCount val="1"/>
                <c:pt idx="0">
                  <c:v>Change Amount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Data!$F$10:$F$191</c:f>
              <c:numCache>
                <c:formatCode>General</c:formatCode>
                <c:ptCount val="182"/>
                <c:pt idx="0">
                  <c:v>3.8</c:v>
                </c:pt>
                <c:pt idx="1">
                  <c:v>1.1836</c:v>
                </c:pt>
                <c:pt idx="2">
                  <c:v>-4.5086552000000006</c:v>
                </c:pt>
                <c:pt idx="3">
                  <c:v>-2.9275467984000003</c:v>
                </c:pt>
                <c:pt idx="4">
                  <c:v>-2.9479386760992004</c:v>
                </c:pt>
                <c:pt idx="5">
                  <c:v>-3.0327632341340536</c:v>
                </c:pt>
                <c:pt idx="6">
                  <c:v>3.4084690794920727</c:v>
                </c:pt>
                <c:pt idx="7">
                  <c:v>2.9683609012766818</c:v>
                </c:pt>
                <c:pt idx="8">
                  <c:v>4.7943526072135496</c:v>
                </c:pt>
                <c:pt idx="9">
                  <c:v>-4.7464090811414135</c:v>
                </c:pt>
                <c:pt idx="10">
                  <c:v>-2.3035905407139667</c:v>
                </c:pt>
                <c:pt idx="11">
                  <c:v>3.9291575989444545</c:v>
                </c:pt>
                <c:pt idx="12">
                  <c:v>4.2670651524536778</c:v>
                </c:pt>
                <c:pt idx="13">
                  <c:v>-2.0475958687378863</c:v>
                </c:pt>
                <c:pt idx="14">
                  <c:v>0.31101903564092342</c:v>
                </c:pt>
                <c:pt idx="15">
                  <c:v>-0.73006534966112691</c:v>
                </c:pt>
                <c:pt idx="16">
                  <c:v>2.3652031428021507</c:v>
                </c:pt>
                <c:pt idx="17">
                  <c:v>-3.7647863938255104</c:v>
                </c:pt>
                <c:pt idx="18">
                  <c:v>-1.2004290330026477</c:v>
                </c:pt>
                <c:pt idx="19">
                  <c:v>-2.2456025777369542</c:v>
                </c:pt>
                <c:pt idx="20">
                  <c:v>2.1423048591610545</c:v>
                </c:pt>
                <c:pt idx="21">
                  <c:v>1.3639961894588906</c:v>
                </c:pt>
                <c:pt idx="22">
                  <c:v>2.9045324571534596</c:v>
                </c:pt>
                <c:pt idx="23">
                  <c:v>0</c:v>
                </c:pt>
                <c:pt idx="24">
                  <c:v>1.4835149915640362</c:v>
                </c:pt>
                <c:pt idx="25">
                  <c:v>0.65359431914049815</c:v>
                </c:pt>
                <c:pt idx="26">
                  <c:v>-4.1891038561444986</c:v>
                </c:pt>
                <c:pt idx="27">
                  <c:v>-2.4446728187858007</c:v>
                </c:pt>
                <c:pt idx="28">
                  <c:v>0.87274819630653067</c:v>
                </c:pt>
                <c:pt idx="29">
                  <c:v>3.7512656917690927</c:v>
                </c:pt>
                <c:pt idx="30">
                  <c:v>-2.5492811901117123</c:v>
                </c:pt>
                <c:pt idx="31">
                  <c:v>1.3145793337009395</c:v>
                </c:pt>
                <c:pt idx="32">
                  <c:v>-3.9425245432563254</c:v>
                </c:pt>
                <c:pt idx="33">
                  <c:v>2.78010230687096</c:v>
                </c:pt>
                <c:pt idx="34">
                  <c:v>1.2171096168287487</c:v>
                </c:pt>
                <c:pt idx="35">
                  <c:v>-0.51930010318026609</c:v>
                </c:pt>
                <c:pt idx="36">
                  <c:v>-2.4677140903126249</c:v>
                </c:pt>
                <c:pt idx="37">
                  <c:v>1.3704038914869443</c:v>
                </c:pt>
                <c:pt idx="38">
                  <c:v>-0.70438760022428859</c:v>
                </c:pt>
                <c:pt idx="39">
                  <c:v>4.3655930925900819</c:v>
                </c:pt>
                <c:pt idx="40">
                  <c:v>3.4543747525367334</c:v>
                </c:pt>
                <c:pt idx="41">
                  <c:v>3.1011649340898528</c:v>
                </c:pt>
                <c:pt idx="42">
                  <c:v>-5.2055924867711232</c:v>
                </c:pt>
                <c:pt idx="43">
                  <c:v>-3.651420478743967</c:v>
                </c:pt>
                <c:pt idx="44">
                  <c:v>1.6535402313439347</c:v>
                </c:pt>
                <c:pt idx="45">
                  <c:v>1.0665334492168379</c:v>
                </c:pt>
                <c:pt idx="46">
                  <c:v>-2.8284467073230535</c:v>
                </c:pt>
                <c:pt idx="47">
                  <c:v>-0.20625903681094201</c:v>
                </c:pt>
                <c:pt idx="48">
                  <c:v>4.2113970136058283</c:v>
                </c:pt>
                <c:pt idx="49">
                  <c:v>-4.4455917743624456</c:v>
                </c:pt>
                <c:pt idx="50">
                  <c:v>5.0101819297064756</c:v>
                </c:pt>
                <c:pt idx="51">
                  <c:v>-1.9085725693857374</c:v>
                </c:pt>
                <c:pt idx="52">
                  <c:v>-2.1690365906195543</c:v>
                </c:pt>
                <c:pt idx="53">
                  <c:v>-2.4987301523937266</c:v>
                </c:pt>
                <c:pt idx="54">
                  <c:v>-2.9734888813485343</c:v>
                </c:pt>
                <c:pt idx="55">
                  <c:v>3.2609261398788925</c:v>
                </c:pt>
                <c:pt idx="56">
                  <c:v>1.0966028761821305</c:v>
                </c:pt>
                <c:pt idx="57">
                  <c:v>0.30565312894312835</c:v>
                </c:pt>
                <c:pt idx="58">
                  <c:v>-1.0249568257226236</c:v>
                </c:pt>
                <c:pt idx="59">
                  <c:v>-4.7209511392784034</c:v>
                </c:pt>
                <c:pt idx="60">
                  <c:v>-1.1830502663493845</c:v>
                </c:pt>
                <c:pt idx="61">
                  <c:v>-1.1522909594243005</c:v>
                </c:pt>
                <c:pt idx="62">
                  <c:v>0.69066547352570351</c:v>
                </c:pt>
                <c:pt idx="63">
                  <c:v>4.2980112417504532</c:v>
                </c:pt>
                <c:pt idx="64">
                  <c:v>-3.3708688167442844</c:v>
                </c:pt>
                <c:pt idx="65">
                  <c:v>-1.2539631998288738</c:v>
                </c:pt>
                <c:pt idx="66">
                  <c:v>-1.3059131038217839</c:v>
                </c:pt>
                <c:pt idx="67">
                  <c:v>-3.2090638004580638</c:v>
                </c:pt>
                <c:pt idx="68">
                  <c:v>-2.1848657538276592</c:v>
                </c:pt>
                <c:pt idx="69">
                  <c:v>0.14732237654380786</c:v>
                </c:pt>
                <c:pt idx="70">
                  <c:v>-2.8842774879746704</c:v>
                </c:pt>
                <c:pt idx="71">
                  <c:v>1.0909964487846751</c:v>
                </c:pt>
                <c:pt idx="72">
                  <c:v>-1.6184932317720653</c:v>
                </c:pt>
                <c:pt idx="73">
                  <c:v>-3.2223496551872355</c:v>
                </c:pt>
                <c:pt idx="74">
                  <c:v>2.9736916734619538</c:v>
                </c:pt>
                <c:pt idx="75">
                  <c:v>2.6653987407846738</c:v>
                </c:pt>
                <c:pt idx="76">
                  <c:v>3.3823910020557508</c:v>
                </c:pt>
                <c:pt idx="77">
                  <c:v>2.0469942481377403</c:v>
                </c:pt>
                <c:pt idx="78">
                  <c:v>-1.3251925840251706</c:v>
                </c:pt>
                <c:pt idx="79">
                  <c:v>0</c:v>
                </c:pt>
                <c:pt idx="80">
                  <c:v>1.9241796320045483</c:v>
                </c:pt>
                <c:pt idx="81">
                  <c:v>-3.0248103815111493</c:v>
                </c:pt>
                <c:pt idx="82">
                  <c:v>1.481484906855683</c:v>
                </c:pt>
                <c:pt idx="83">
                  <c:v>2.9136909473359558</c:v>
                </c:pt>
                <c:pt idx="84">
                  <c:v>-3.9043458694301809</c:v>
                </c:pt>
                <c:pt idx="85">
                  <c:v>-0.94745459764839013</c:v>
                </c:pt>
                <c:pt idx="86">
                  <c:v>-3.6218031086105809</c:v>
                </c:pt>
                <c:pt idx="87">
                  <c:v>0.8377924126981755</c:v>
                </c:pt>
                <c:pt idx="88">
                  <c:v>-2.8596647686764389</c:v>
                </c:pt>
                <c:pt idx="89">
                  <c:v>2.3678024284640915</c:v>
                </c:pt>
                <c:pt idx="90">
                  <c:v>0.28203157814594509</c:v>
                </c:pt>
                <c:pt idx="91">
                  <c:v>2.7718063500183492</c:v>
                </c:pt>
                <c:pt idx="92">
                  <c:v>-7.6615570392814608E-2</c:v>
                </c:pt>
                <c:pt idx="93">
                  <c:v>-2.7526442130730522</c:v>
                </c:pt>
                <c:pt idx="94">
                  <c:v>-0.78052755908471416</c:v>
                </c:pt>
                <c:pt idx="95">
                  <c:v>0.62456396136942316</c:v>
                </c:pt>
                <c:pt idx="96">
                  <c:v>1.1303219780872407</c:v>
                </c:pt>
                <c:pt idx="97">
                  <c:v>-3.4265710765714696</c:v>
                </c:pt>
                <c:pt idx="98">
                  <c:v>-2.7742102682063314</c:v>
                </c:pt>
                <c:pt idx="99">
                  <c:v>-1.5126051224267856</c:v>
                </c:pt>
                <c:pt idx="100">
                  <c:v>0.57478994652217852</c:v>
                </c:pt>
                <c:pt idx="101">
                  <c:v>2.2865144072652264</c:v>
                </c:pt>
                <c:pt idx="102">
                  <c:v>0.44241122351854867</c:v>
                </c:pt>
                <c:pt idx="103">
                  <c:v>2.6916298838868498</c:v>
                </c:pt>
                <c:pt idx="104">
                  <c:v>-0.41681811344762165</c:v>
                </c:pt>
                <c:pt idx="105">
                  <c:v>2.6081698752129117</c:v>
                </c:pt>
                <c:pt idx="106">
                  <c:v>2.2155716729440207</c:v>
                </c:pt>
                <c:pt idx="107">
                  <c:v>-1.5656706488804415</c:v>
                </c:pt>
                <c:pt idx="108">
                  <c:v>0.97697848490139549</c:v>
                </c:pt>
                <c:pt idx="109">
                  <c:v>-7.7106148116063714E-2</c:v>
                </c:pt>
                <c:pt idx="110">
                  <c:v>2.3085580745949552</c:v>
                </c:pt>
                <c:pt idx="111">
                  <c:v>-2.1207953511945652</c:v>
                </c:pt>
                <c:pt idx="112">
                  <c:v>0</c:v>
                </c:pt>
                <c:pt idx="113">
                  <c:v>-1.5465492253326525</c:v>
                </c:pt>
                <c:pt idx="114">
                  <c:v>-1.7073903447672483</c:v>
                </c:pt>
                <c:pt idx="115">
                  <c:v>-2.0537678816665523</c:v>
                </c:pt>
                <c:pt idx="116">
                  <c:v>0.93396864908339616</c:v>
                </c:pt>
                <c:pt idx="117">
                  <c:v>0.89153978759646468</c:v>
                </c:pt>
                <c:pt idx="118">
                  <c:v>-0.14072612647291841</c:v>
                </c:pt>
                <c:pt idx="119">
                  <c:v>-0.91106094278567729</c:v>
                </c:pt>
                <c:pt idx="120">
                  <c:v>1.365189781958845</c:v>
                </c:pt>
                <c:pt idx="121">
                  <c:v>2.8395947464743978</c:v>
                </c:pt>
                <c:pt idx="122">
                  <c:v>3.8334529077404369</c:v>
                </c:pt>
                <c:pt idx="123">
                  <c:v>0.25300789191086887</c:v>
                </c:pt>
                <c:pt idx="124">
                  <c:v>-0.7635778177870024</c:v>
                </c:pt>
                <c:pt idx="125">
                  <c:v>1.416352010015135</c:v>
                </c:pt>
                <c:pt idx="126">
                  <c:v>-0.34459011255427074</c:v>
                </c:pt>
                <c:pt idx="127">
                  <c:v>-0.42729173956729533</c:v>
                </c:pt>
                <c:pt idx="128">
                  <c:v>-2.791924226332708</c:v>
                </c:pt>
                <c:pt idx="129">
                  <c:v>3.7139360511379751</c:v>
                </c:pt>
                <c:pt idx="130">
                  <c:v>2.5069858544341153</c:v>
                </c:pt>
                <c:pt idx="131">
                  <c:v>3.0182380731625069</c:v>
                </c:pt>
                <c:pt idx="132">
                  <c:v>2.3399576625390779</c:v>
                </c:pt>
                <c:pt idx="133">
                  <c:v>-4.700194958153495</c:v>
                </c:pt>
                <c:pt idx="134">
                  <c:v>1.7627774656100887</c:v>
                </c:pt>
                <c:pt idx="135">
                  <c:v>2.1186729581406309</c:v>
                </c:pt>
                <c:pt idx="136">
                  <c:v>1.1059472841494093</c:v>
                </c:pt>
                <c:pt idx="137">
                  <c:v>1.2330306811643958</c:v>
                </c:pt>
                <c:pt idx="138">
                  <c:v>-3.6826516344109961</c:v>
                </c:pt>
                <c:pt idx="139">
                  <c:v>4.8926657428603235</c:v>
                </c:pt>
                <c:pt idx="140">
                  <c:v>3.2291593902878128</c:v>
                </c:pt>
                <c:pt idx="141">
                  <c:v>-3.8792968141990922</c:v>
                </c:pt>
                <c:pt idx="142">
                  <c:v>-1.9140906869118823</c:v>
                </c:pt>
                <c:pt idx="143">
                  <c:v>3.6903668443661073</c:v>
                </c:pt>
                <c:pt idx="144">
                  <c:v>3.1868367904903767</c:v>
                </c:pt>
                <c:pt idx="145">
                  <c:v>3.9529963112937874</c:v>
                </c:pt>
                <c:pt idx="146">
                  <c:v>-2.8559235703123704</c:v>
                </c:pt>
                <c:pt idx="147">
                  <c:v>0.23691748574591315</c:v>
                </c:pt>
                <c:pt idx="148">
                  <c:v>3.9247750688667975</c:v>
                </c:pt>
                <c:pt idx="149">
                  <c:v>-2.1552961756970954</c:v>
                </c:pt>
                <c:pt idx="150">
                  <c:v>-0.73482921378472854</c:v>
                </c:pt>
                <c:pt idx="151">
                  <c:v>3.7510581932997691</c:v>
                </c:pt>
                <c:pt idx="152">
                  <c:v>0.7710239615389074</c:v>
                </c:pt>
                <c:pt idx="153">
                  <c:v>5.4619337435416195</c:v>
                </c:pt>
                <c:pt idx="154">
                  <c:v>-0.28193981799995693</c:v>
                </c:pt>
                <c:pt idx="155">
                  <c:v>3.2293386753715181</c:v>
                </c:pt>
                <c:pt idx="156">
                  <c:v>-2.4967000141502771</c:v>
                </c:pt>
                <c:pt idx="157">
                  <c:v>5.958594880829704</c:v>
                </c:pt>
                <c:pt idx="158">
                  <c:v>7.5356363259559664</c:v>
                </c:pt>
                <c:pt idx="159">
                  <c:v>5.9100919184997505</c:v>
                </c:pt>
                <c:pt idx="160">
                  <c:v>5.7817584939837552</c:v>
                </c:pt>
                <c:pt idx="161">
                  <c:v>-1.3457042894747178</c:v>
                </c:pt>
                <c:pt idx="162">
                  <c:v>-1.5164164907680815</c:v>
                </c:pt>
                <c:pt idx="163">
                  <c:v>7.087730677850022</c:v>
                </c:pt>
                <c:pt idx="164">
                  <c:v>-6.8236194504859249</c:v>
                </c:pt>
                <c:pt idx="165">
                  <c:v>-7.1078031311296934</c:v>
                </c:pt>
                <c:pt idx="166">
                  <c:v>-3.8023005802527456</c:v>
                </c:pt>
                <c:pt idx="167">
                  <c:v>3.8002265981180643</c:v>
                </c:pt>
                <c:pt idx="168">
                  <c:v>-1.3826215727413875</c:v>
                </c:pt>
                <c:pt idx="169">
                  <c:v>-1.7006245344719091</c:v>
                </c:pt>
                <c:pt idx="170">
                  <c:v>7.8330766057776113</c:v>
                </c:pt>
                <c:pt idx="171">
                  <c:v>7.4754216611818931</c:v>
                </c:pt>
                <c:pt idx="172">
                  <c:v>2.1700602100338271</c:v>
                </c:pt>
                <c:pt idx="173">
                  <c:v>-9.0728244599505175</c:v>
                </c:pt>
                <c:pt idx="174">
                  <c:v>-2.3851447413603264</c:v>
                </c:pt>
                <c:pt idx="175">
                  <c:v>-5.8971786366771983</c:v>
                </c:pt>
                <c:pt idx="176">
                  <c:v>2.0028963078750923</c:v>
                </c:pt>
                <c:pt idx="177">
                  <c:v>-0.85456909136003933</c:v>
                </c:pt>
                <c:pt idx="178">
                  <c:v>1.0152280805357268</c:v>
                </c:pt>
                <c:pt idx="179">
                  <c:v>7.5343459950158067</c:v>
                </c:pt>
                <c:pt idx="180">
                  <c:v>2.7945574236058626</c:v>
                </c:pt>
                <c:pt idx="181">
                  <c:v>7.6757177235041034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6-4469-A2AA-C7080473228F}"/>
            </c:ext>
          </c:extLst>
        </c:ser>
        <c:ser>
          <c:idx val="5"/>
          <c:order val="5"/>
          <c:tx>
            <c:strRef>
              <c:f>Data!$G$9</c:f>
              <c:strCache>
                <c:ptCount val="1"/>
                <c:pt idx="0">
                  <c:v>Old Price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Data!$G$10:$G$191</c:f>
              <c:numCache>
                <c:formatCode>General</c:formatCode>
                <c:ptCount val="182"/>
                <c:pt idx="0">
                  <c:v>50</c:v>
                </c:pt>
                <c:pt idx="1">
                  <c:v>53.8</c:v>
                </c:pt>
                <c:pt idx="2">
                  <c:v>54.983599999999996</c:v>
                </c:pt>
                <c:pt idx="3">
                  <c:v>50.474944799999996</c:v>
                </c:pt>
                <c:pt idx="4">
                  <c:v>47.547398001599994</c:v>
                </c:pt>
                <c:pt idx="5">
                  <c:v>44.599459325500796</c:v>
                </c:pt>
                <c:pt idx="6">
                  <c:v>41.566696091366744</c:v>
                </c:pt>
                <c:pt idx="7">
                  <c:v>44.975165170858816</c:v>
                </c:pt>
                <c:pt idx="8">
                  <c:v>47.943526072135498</c:v>
                </c:pt>
                <c:pt idx="9">
                  <c:v>52.737878679349045</c:v>
                </c:pt>
                <c:pt idx="10">
                  <c:v>47.99146959820763</c:v>
                </c:pt>
                <c:pt idx="11">
                  <c:v>45.68787905749366</c:v>
                </c:pt>
                <c:pt idx="12">
                  <c:v>49.617036656438117</c:v>
                </c:pt>
                <c:pt idx="13">
                  <c:v>53.884101808891792</c:v>
                </c:pt>
                <c:pt idx="14">
                  <c:v>51.836505940153906</c:v>
                </c:pt>
                <c:pt idx="15">
                  <c:v>52.14752497579483</c:v>
                </c:pt>
                <c:pt idx="16">
                  <c:v>51.417459626133706</c:v>
                </c:pt>
                <c:pt idx="17">
                  <c:v>53.782662768935857</c:v>
                </c:pt>
                <c:pt idx="18">
                  <c:v>50.017876375110347</c:v>
                </c:pt>
                <c:pt idx="19">
                  <c:v>48.817447342107698</c:v>
                </c:pt>
                <c:pt idx="20">
                  <c:v>46.571844764370745</c:v>
                </c:pt>
                <c:pt idx="21">
                  <c:v>48.714149623531796</c:v>
                </c:pt>
                <c:pt idx="22">
                  <c:v>50.078145812990684</c:v>
                </c:pt>
                <c:pt idx="23">
                  <c:v>52.982678270144142</c:v>
                </c:pt>
                <c:pt idx="24">
                  <c:v>52.982678270144142</c:v>
                </c:pt>
                <c:pt idx="25">
                  <c:v>54.466193261708177</c:v>
                </c:pt>
                <c:pt idx="26">
                  <c:v>55.119787580848673</c:v>
                </c:pt>
                <c:pt idx="27">
                  <c:v>50.930683724704174</c:v>
                </c:pt>
                <c:pt idx="28">
                  <c:v>48.486010905918377</c:v>
                </c:pt>
                <c:pt idx="29">
                  <c:v>49.358759102224909</c:v>
                </c:pt>
                <c:pt idx="30">
                  <c:v>53.110024793994</c:v>
                </c:pt>
                <c:pt idx="31">
                  <c:v>50.560743603882287</c:v>
                </c:pt>
                <c:pt idx="32">
                  <c:v>51.875322937583228</c:v>
                </c:pt>
                <c:pt idx="33">
                  <c:v>47.932798394326902</c:v>
                </c:pt>
                <c:pt idx="34">
                  <c:v>50.71290070119786</c:v>
                </c:pt>
                <c:pt idx="35">
                  <c:v>51.930010318026611</c:v>
                </c:pt>
                <c:pt idx="36">
                  <c:v>51.410710214846347</c:v>
                </c:pt>
                <c:pt idx="37">
                  <c:v>48.942996124533721</c:v>
                </c:pt>
                <c:pt idx="38">
                  <c:v>50.313400016020665</c:v>
                </c:pt>
                <c:pt idx="39">
                  <c:v>49.609012415796379</c:v>
                </c:pt>
                <c:pt idx="40">
                  <c:v>53.97460550838646</c:v>
                </c:pt>
                <c:pt idx="41">
                  <c:v>57.428980260923197</c:v>
                </c:pt>
                <c:pt idx="42">
                  <c:v>60.530145195013048</c:v>
                </c:pt>
                <c:pt idx="43">
                  <c:v>55.324552708241924</c:v>
                </c:pt>
                <c:pt idx="44">
                  <c:v>51.673132229497959</c:v>
                </c:pt>
                <c:pt idx="45">
                  <c:v>53.326672460841891</c:v>
                </c:pt>
                <c:pt idx="46">
                  <c:v>54.393205910058732</c:v>
                </c:pt>
                <c:pt idx="47">
                  <c:v>51.564759202735679</c:v>
                </c:pt>
                <c:pt idx="48">
                  <c:v>51.358500165924738</c:v>
                </c:pt>
                <c:pt idx="49">
                  <c:v>55.569897179530564</c:v>
                </c:pt>
                <c:pt idx="50">
                  <c:v>51.124305405168116</c:v>
                </c:pt>
                <c:pt idx="51">
                  <c:v>56.134487334874592</c:v>
                </c:pt>
                <c:pt idx="52">
                  <c:v>54.225914765488852</c:v>
                </c:pt>
                <c:pt idx="53">
                  <c:v>52.056878174869297</c:v>
                </c:pt>
                <c:pt idx="54">
                  <c:v>49.558148022475571</c:v>
                </c:pt>
                <c:pt idx="55">
                  <c:v>46.584659141127034</c:v>
                </c:pt>
                <c:pt idx="56">
                  <c:v>49.845585281005924</c:v>
                </c:pt>
                <c:pt idx="57">
                  <c:v>50.942188157188056</c:v>
                </c:pt>
                <c:pt idx="58">
                  <c:v>51.247841286131184</c:v>
                </c:pt>
                <c:pt idx="59">
                  <c:v>50.222884460408558</c:v>
                </c:pt>
                <c:pt idx="60">
                  <c:v>45.501933321130153</c:v>
                </c:pt>
                <c:pt idx="61">
                  <c:v>44.31888305478077</c:v>
                </c:pt>
                <c:pt idx="62">
                  <c:v>43.166592095356471</c:v>
                </c:pt>
                <c:pt idx="63">
                  <c:v>43.857257568882176</c:v>
                </c:pt>
                <c:pt idx="64">
                  <c:v>48.155268810632627</c:v>
                </c:pt>
                <c:pt idx="65">
                  <c:v>44.784399993888343</c:v>
                </c:pt>
                <c:pt idx="66">
                  <c:v>43.530436794059469</c:v>
                </c:pt>
                <c:pt idx="67">
                  <c:v>42.224523690237682</c:v>
                </c:pt>
                <c:pt idx="68">
                  <c:v>39.015459889779621</c:v>
                </c:pt>
                <c:pt idx="69">
                  <c:v>36.830594135951962</c:v>
                </c:pt>
                <c:pt idx="70">
                  <c:v>36.977916512495767</c:v>
                </c:pt>
                <c:pt idx="71">
                  <c:v>34.093639024521096</c:v>
                </c:pt>
                <c:pt idx="72">
                  <c:v>35.184635473305768</c:v>
                </c:pt>
                <c:pt idx="73">
                  <c:v>33.566142241533704</c:v>
                </c:pt>
                <c:pt idx="74">
                  <c:v>30.343792586346467</c:v>
                </c:pt>
                <c:pt idx="75">
                  <c:v>33.317484259808424</c:v>
                </c:pt>
                <c:pt idx="76">
                  <c:v>35.982883000593098</c:v>
                </c:pt>
                <c:pt idx="77">
                  <c:v>39.365274002648846</c:v>
                </c:pt>
                <c:pt idx="78">
                  <c:v>41.412268250786589</c:v>
                </c:pt>
                <c:pt idx="79">
                  <c:v>40.087075666761422</c:v>
                </c:pt>
                <c:pt idx="80">
                  <c:v>40.087075666761422</c:v>
                </c:pt>
                <c:pt idx="81">
                  <c:v>42.011255298765967</c:v>
                </c:pt>
                <c:pt idx="82">
                  <c:v>38.986444917254815</c:v>
                </c:pt>
                <c:pt idx="83">
                  <c:v>40.467929824110499</c:v>
                </c:pt>
                <c:pt idx="84">
                  <c:v>43.381620771446457</c:v>
                </c:pt>
                <c:pt idx="85">
                  <c:v>39.477274902016276</c:v>
                </c:pt>
                <c:pt idx="86">
                  <c:v>38.529820304367888</c:v>
                </c:pt>
                <c:pt idx="87">
                  <c:v>34.90801719575731</c:v>
                </c:pt>
                <c:pt idx="88">
                  <c:v>35.745809608455488</c:v>
                </c:pt>
                <c:pt idx="89">
                  <c:v>32.88614483977905</c:v>
                </c:pt>
                <c:pt idx="90">
                  <c:v>35.253947268243138</c:v>
                </c:pt>
                <c:pt idx="91">
                  <c:v>35.535978846389085</c:v>
                </c:pt>
                <c:pt idx="92">
                  <c:v>38.307785196407437</c:v>
                </c:pt>
                <c:pt idx="93">
                  <c:v>38.231169626014619</c:v>
                </c:pt>
                <c:pt idx="94">
                  <c:v>35.478525412941565</c:v>
                </c:pt>
                <c:pt idx="95">
                  <c:v>34.697997853856847</c:v>
                </c:pt>
                <c:pt idx="96">
                  <c:v>35.322561815226273</c:v>
                </c:pt>
                <c:pt idx="97">
                  <c:v>36.452883793313511</c:v>
                </c:pt>
                <c:pt idx="98">
                  <c:v>33.026312716742041</c:v>
                </c:pt>
                <c:pt idx="99">
                  <c:v>30.252102448535709</c:v>
                </c:pt>
                <c:pt idx="100">
                  <c:v>28.739497326108925</c:v>
                </c:pt>
                <c:pt idx="101">
                  <c:v>29.314287272631102</c:v>
                </c:pt>
                <c:pt idx="102">
                  <c:v>31.600801679896328</c:v>
                </c:pt>
                <c:pt idx="103">
                  <c:v>32.043212903414876</c:v>
                </c:pt>
                <c:pt idx="104">
                  <c:v>34.734842787301723</c:v>
                </c:pt>
                <c:pt idx="105">
                  <c:v>34.318024673854104</c:v>
                </c:pt>
                <c:pt idx="106">
                  <c:v>36.926194549067013</c:v>
                </c:pt>
                <c:pt idx="107">
                  <c:v>39.141766222011036</c:v>
                </c:pt>
                <c:pt idx="108">
                  <c:v>37.576095573130594</c:v>
                </c:pt>
                <c:pt idx="109">
                  <c:v>38.553074058031989</c:v>
                </c:pt>
                <c:pt idx="110">
                  <c:v>38.475967909915923</c:v>
                </c:pt>
                <c:pt idx="111">
                  <c:v>40.784525984510879</c:v>
                </c:pt>
                <c:pt idx="112">
                  <c:v>38.663730633316312</c:v>
                </c:pt>
                <c:pt idx="113">
                  <c:v>38.663730633316312</c:v>
                </c:pt>
                <c:pt idx="114">
                  <c:v>37.117181407983658</c:v>
                </c:pt>
                <c:pt idx="115">
                  <c:v>35.40979106321641</c:v>
                </c:pt>
                <c:pt idx="116">
                  <c:v>33.356023181549858</c:v>
                </c:pt>
                <c:pt idx="117">
                  <c:v>34.289991830633255</c:v>
                </c:pt>
                <c:pt idx="118">
                  <c:v>35.18153161822972</c:v>
                </c:pt>
                <c:pt idx="119">
                  <c:v>35.040805491756799</c:v>
                </c:pt>
                <c:pt idx="120">
                  <c:v>34.129744548971125</c:v>
                </c:pt>
                <c:pt idx="121">
                  <c:v>35.494934330929972</c:v>
                </c:pt>
                <c:pt idx="122">
                  <c:v>38.334529077404369</c:v>
                </c:pt>
                <c:pt idx="123">
                  <c:v>42.167981985144806</c:v>
                </c:pt>
                <c:pt idx="124">
                  <c:v>42.420989877055675</c:v>
                </c:pt>
                <c:pt idx="125">
                  <c:v>41.657412059268673</c:v>
                </c:pt>
                <c:pt idx="126">
                  <c:v>43.073764069283804</c:v>
                </c:pt>
                <c:pt idx="127">
                  <c:v>42.729173956729532</c:v>
                </c:pt>
                <c:pt idx="128">
                  <c:v>42.301882217162238</c:v>
                </c:pt>
                <c:pt idx="129">
                  <c:v>39.509957990829527</c:v>
                </c:pt>
                <c:pt idx="130">
                  <c:v>43.223894041967505</c:v>
                </c:pt>
                <c:pt idx="131">
                  <c:v>45.730879896401618</c:v>
                </c:pt>
                <c:pt idx="132">
                  <c:v>48.749117969564125</c:v>
                </c:pt>
                <c:pt idx="133">
                  <c:v>51.089075632103203</c:v>
                </c:pt>
                <c:pt idx="134">
                  <c:v>46.388880673949707</c:v>
                </c:pt>
                <c:pt idx="135">
                  <c:v>48.151658139559792</c:v>
                </c:pt>
                <c:pt idx="136">
                  <c:v>50.270331097700421</c:v>
                </c:pt>
                <c:pt idx="137">
                  <c:v>51.376278381849829</c:v>
                </c:pt>
                <c:pt idx="138">
                  <c:v>52.609309063014223</c:v>
                </c:pt>
                <c:pt idx="139">
                  <c:v>48.926657428603228</c:v>
                </c:pt>
                <c:pt idx="140">
                  <c:v>53.819323171463552</c:v>
                </c:pt>
                <c:pt idx="141">
                  <c:v>57.048482561751364</c:v>
                </c:pt>
                <c:pt idx="142">
                  <c:v>53.16918574755227</c:v>
                </c:pt>
                <c:pt idx="143">
                  <c:v>51.255095060640386</c:v>
                </c:pt>
                <c:pt idx="144">
                  <c:v>54.945461905006496</c:v>
                </c:pt>
                <c:pt idx="145">
                  <c:v>58.132298695496871</c:v>
                </c:pt>
                <c:pt idx="146">
                  <c:v>62.085295006790659</c:v>
                </c:pt>
                <c:pt idx="147">
                  <c:v>59.229371436478289</c:v>
                </c:pt>
                <c:pt idx="148">
                  <c:v>59.466288922224201</c:v>
                </c:pt>
                <c:pt idx="149">
                  <c:v>63.391063991091002</c:v>
                </c:pt>
                <c:pt idx="150">
                  <c:v>61.235767815393906</c:v>
                </c:pt>
                <c:pt idx="151">
                  <c:v>60.500938601609178</c:v>
                </c:pt>
                <c:pt idx="152">
                  <c:v>64.251996794908948</c:v>
                </c:pt>
                <c:pt idx="153">
                  <c:v>65.023020756447849</c:v>
                </c:pt>
                <c:pt idx="154">
                  <c:v>70.48495449998947</c:v>
                </c:pt>
                <c:pt idx="155">
                  <c:v>70.203014681989515</c:v>
                </c:pt>
                <c:pt idx="156">
                  <c:v>73.432353357361038</c:v>
                </c:pt>
                <c:pt idx="157">
                  <c:v>70.93565334321076</c:v>
                </c:pt>
                <c:pt idx="158">
                  <c:v>76.894248224040467</c:v>
                </c:pt>
                <c:pt idx="159">
                  <c:v>84.42988454999643</c:v>
                </c:pt>
                <c:pt idx="160">
                  <c:v>90.339976468496175</c:v>
                </c:pt>
                <c:pt idx="161">
                  <c:v>96.121734962479934</c:v>
                </c:pt>
                <c:pt idx="162">
                  <c:v>94.776030673005209</c:v>
                </c:pt>
                <c:pt idx="163">
                  <c:v>93.259614182237129</c:v>
                </c:pt>
                <c:pt idx="164">
                  <c:v>100.34734486008715</c:v>
                </c:pt>
                <c:pt idx="165">
                  <c:v>93.523725409601226</c:v>
                </c:pt>
                <c:pt idx="166">
                  <c:v>86.415922278471527</c:v>
                </c:pt>
                <c:pt idx="167">
                  <c:v>82.613621698218779</c:v>
                </c:pt>
                <c:pt idx="168">
                  <c:v>86.413848296336838</c:v>
                </c:pt>
                <c:pt idx="169">
                  <c:v>85.031226723595452</c:v>
                </c:pt>
                <c:pt idx="170">
                  <c:v>83.330602189123539</c:v>
                </c:pt>
                <c:pt idx="171">
                  <c:v>91.163678794901145</c:v>
                </c:pt>
                <c:pt idx="172">
                  <c:v>98.639100456083042</c:v>
                </c:pt>
                <c:pt idx="173">
                  <c:v>100.80916066611687</c:v>
                </c:pt>
                <c:pt idx="174">
                  <c:v>91.736336206166357</c:v>
                </c:pt>
                <c:pt idx="175">
                  <c:v>89.351191464806035</c:v>
                </c:pt>
                <c:pt idx="176">
                  <c:v>83.454012828128839</c:v>
                </c:pt>
                <c:pt idx="177">
                  <c:v>85.456909136003929</c:v>
                </c:pt>
                <c:pt idx="178">
                  <c:v>84.602340044643896</c:v>
                </c:pt>
                <c:pt idx="179">
                  <c:v>85.617568125179616</c:v>
                </c:pt>
                <c:pt idx="180">
                  <c:v>93.151914120195428</c:v>
                </c:pt>
                <c:pt idx="181">
                  <c:v>95.946471543801295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56-4469-A2AA-C7080473228F}"/>
            </c:ext>
          </c:extLst>
        </c:ser>
        <c:ser>
          <c:idx val="6"/>
          <c:order val="6"/>
          <c:tx>
            <c:strRef>
              <c:f>RandomFunction!$H$9</c:f>
              <c:strCache>
                <c:ptCount val="1"/>
                <c:pt idx="0">
                  <c:v>New Price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RandomFunction!$H$10:$H$191</c:f>
              <c:numCache>
                <c:formatCode>General</c:formatCode>
                <c:ptCount val="182"/>
                <c:pt idx="0">
                  <c:v>51.5</c:v>
                </c:pt>
                <c:pt idx="1">
                  <c:v>53.045000000000002</c:v>
                </c:pt>
                <c:pt idx="2">
                  <c:v>54.63635</c:v>
                </c:pt>
                <c:pt idx="3">
                  <c:v>57.805258299999998</c:v>
                </c:pt>
                <c:pt idx="4">
                  <c:v>62.776510513799998</c:v>
                </c:pt>
                <c:pt idx="5">
                  <c:v>68.175290417986801</c:v>
                </c:pt>
                <c:pt idx="6">
                  <c:v>74.03836539393366</c:v>
                </c:pt>
                <c:pt idx="7">
                  <c:v>67.671065970055366</c:v>
                </c:pt>
                <c:pt idx="8">
                  <c:v>63.746144143792151</c:v>
                </c:pt>
                <c:pt idx="9">
                  <c:v>60.048867783452202</c:v>
                </c:pt>
                <c:pt idx="10">
                  <c:v>56.566033452011972</c:v>
                </c:pt>
                <c:pt idx="11">
                  <c:v>54.869052448451612</c:v>
                </c:pt>
                <c:pt idx="12">
                  <c:v>54.759314343554706</c:v>
                </c:pt>
                <c:pt idx="13">
                  <c:v>54.649795714867601</c:v>
                </c:pt>
                <c:pt idx="14">
                  <c:v>54.540496123437869</c:v>
                </c:pt>
                <c:pt idx="15">
                  <c:v>55.958549022647254</c:v>
                </c:pt>
                <c:pt idx="16">
                  <c:v>58.980310669870207</c:v>
                </c:pt>
                <c:pt idx="17">
                  <c:v>62.165247446043196</c:v>
                </c:pt>
                <c:pt idx="18">
                  <c:v>65.52217080812953</c:v>
                </c:pt>
                <c:pt idx="19">
                  <c:v>70.894988814396157</c:v>
                </c:pt>
                <c:pt idx="20">
                  <c:v>64.51443982110051</c:v>
                </c:pt>
                <c:pt idx="21">
                  <c:v>58.708140237201462</c:v>
                </c:pt>
                <c:pt idx="22">
                  <c:v>53.424407615853333</c:v>
                </c:pt>
                <c:pt idx="23">
                  <c:v>50.112094343670428</c:v>
                </c:pt>
                <c:pt idx="24">
                  <c:v>48.408283135985634</c:v>
                </c:pt>
                <c:pt idx="25">
                  <c:v>46.762401509362121</c:v>
                </c:pt>
                <c:pt idx="26">
                  <c:v>45.172479858043808</c:v>
                </c:pt>
                <c:pt idx="27">
                  <c:v>44.901444978895547</c:v>
                </c:pt>
                <c:pt idx="28">
                  <c:v>45.889276768431252</c:v>
                </c:pt>
                <c:pt idx="29">
                  <c:v>46.898840857336737</c:v>
                </c:pt>
                <c:pt idx="30">
                  <c:v>47.930615356198146</c:v>
                </c:pt>
                <c:pt idx="31">
                  <c:v>50.327146124008053</c:v>
                </c:pt>
                <c:pt idx="32">
                  <c:v>54.252663521680681</c:v>
                </c:pt>
                <c:pt idx="33">
                  <c:v>58.484371276371775</c:v>
                </c:pt>
                <c:pt idx="34">
                  <c:v>63.046152235928773</c:v>
                </c:pt>
                <c:pt idx="35">
                  <c:v>57.119813925751473</c:v>
                </c:pt>
                <c:pt idx="36">
                  <c:v>53.349906206651873</c:v>
                </c:pt>
                <c:pt idx="37">
                  <c:v>49.828812397012847</c:v>
                </c:pt>
                <c:pt idx="38">
                  <c:v>46.540110778809996</c:v>
                </c:pt>
                <c:pt idx="39">
                  <c:v>44.864666790772837</c:v>
                </c:pt>
                <c:pt idx="40">
                  <c:v>44.505749456446651</c:v>
                </c:pt>
                <c:pt idx="41">
                  <c:v>44.149703460795081</c:v>
                </c:pt>
                <c:pt idx="42">
                  <c:v>43.796505833108718</c:v>
                </c:pt>
                <c:pt idx="43">
                  <c:v>44.672435949770893</c:v>
                </c:pt>
                <c:pt idx="44">
                  <c:v>46.816712875359897</c:v>
                </c:pt>
                <c:pt idx="45">
                  <c:v>49.063915093377176</c:v>
                </c:pt>
                <c:pt idx="46">
                  <c:v>51.418983017859283</c:v>
                </c:pt>
                <c:pt idx="47">
                  <c:v>55.326825727216587</c:v>
                </c:pt>
                <c:pt idx="48">
                  <c:v>50.015450457403794</c:v>
                </c:pt>
                <c:pt idx="49">
                  <c:v>45.213967213493028</c:v>
                </c:pt>
                <c:pt idx="50">
                  <c:v>40.873426360997698</c:v>
                </c:pt>
                <c:pt idx="51">
                  <c:v>38.094033368449857</c:v>
                </c:pt>
                <c:pt idx="52">
                  <c:v>36.570272033711859</c:v>
                </c:pt>
                <c:pt idx="53">
                  <c:v>35.107461152363385</c:v>
                </c:pt>
                <c:pt idx="54">
                  <c:v>33.703162706268849</c:v>
                </c:pt>
                <c:pt idx="55">
                  <c:v>33.298724753793621</c:v>
                </c:pt>
                <c:pt idx="56">
                  <c:v>33.83150434985432</c:v>
                </c:pt>
                <c:pt idx="57">
                  <c:v>34.372808419451992</c:v>
                </c:pt>
                <c:pt idx="58">
                  <c:v>34.922773354163226</c:v>
                </c:pt>
                <c:pt idx="59">
                  <c:v>36.459375381746412</c:v>
                </c:pt>
                <c:pt idx="60">
                  <c:v>39.084450409232154</c:v>
                </c:pt>
                <c:pt idx="61">
                  <c:v>41.898530838696871</c:v>
                </c:pt>
                <c:pt idx="62">
                  <c:v>44.915225059083042</c:v>
                </c:pt>
                <c:pt idx="63">
                  <c:v>49.406747564991349</c:v>
                </c:pt>
                <c:pt idx="64">
                  <c:v>45.849461740311973</c:v>
                </c:pt>
                <c:pt idx="65">
                  <c:v>42.548300495009514</c:v>
                </c:pt>
                <c:pt idx="66">
                  <c:v>39.484822859368826</c:v>
                </c:pt>
                <c:pt idx="67">
                  <c:v>37.747490653556596</c:v>
                </c:pt>
                <c:pt idx="68">
                  <c:v>37.143530803099694</c:v>
                </c:pt>
                <c:pt idx="69">
                  <c:v>36.5492343102501</c:v>
                </c:pt>
                <c:pt idx="70">
                  <c:v>35.964446561286096</c:v>
                </c:pt>
                <c:pt idx="71">
                  <c:v>36.39601992002153</c:v>
                </c:pt>
                <c:pt idx="72">
                  <c:v>37.851860716822394</c:v>
                </c:pt>
                <c:pt idx="73">
                  <c:v>39.365935145495293</c:v>
                </c:pt>
                <c:pt idx="74">
                  <c:v>40.940572551315107</c:v>
                </c:pt>
                <c:pt idx="75">
                  <c:v>43.724531484804537</c:v>
                </c:pt>
                <c:pt idx="76">
                  <c:v>47.922086507345774</c:v>
                </c:pt>
                <c:pt idx="77">
                  <c:v>52.522606812050967</c:v>
                </c:pt>
                <c:pt idx="78">
                  <c:v>57.564777066007863</c:v>
                </c:pt>
                <c:pt idx="79">
                  <c:v>53.189854008991269</c:v>
                </c:pt>
                <c:pt idx="80">
                  <c:v>50.636741016559689</c:v>
                </c:pt>
                <c:pt idx="81">
                  <c:v>48.206177447764823</c:v>
                </c:pt>
                <c:pt idx="82">
                  <c:v>45.892280930272108</c:v>
                </c:pt>
                <c:pt idx="83">
                  <c:v>44.974435311666667</c:v>
                </c:pt>
                <c:pt idx="84">
                  <c:v>45.33423079416</c:v>
                </c:pt>
                <c:pt idx="85">
                  <c:v>45.696904640513281</c:v>
                </c:pt>
                <c:pt idx="86">
                  <c:v>46.062479877637386</c:v>
                </c:pt>
                <c:pt idx="87">
                  <c:v>47.720729153232334</c:v>
                </c:pt>
                <c:pt idx="88">
                  <c:v>50.774855819039203</c:v>
                </c:pt>
                <c:pt idx="89">
                  <c:v>54.024446591457711</c:v>
                </c:pt>
                <c:pt idx="90">
                  <c:v>57.482011173311001</c:v>
                </c:pt>
                <c:pt idx="91">
                  <c:v>62.770356201255616</c:v>
                </c:pt>
                <c:pt idx="92">
                  <c:v>57.748727705155169</c:v>
                </c:pt>
                <c:pt idx="93">
                  <c:v>53.128829488742753</c:v>
                </c:pt>
                <c:pt idx="94">
                  <c:v>48.878523129643334</c:v>
                </c:pt>
                <c:pt idx="95">
                  <c:v>46.336839926901881</c:v>
                </c:pt>
                <c:pt idx="96">
                  <c:v>45.224755768656237</c:v>
                </c:pt>
                <c:pt idx="97">
                  <c:v>44.139361630208491</c:v>
                </c:pt>
                <c:pt idx="98">
                  <c:v>43.080016951083486</c:v>
                </c:pt>
                <c:pt idx="99">
                  <c:v>43.252337018887822</c:v>
                </c:pt>
                <c:pt idx="100">
                  <c:v>44.63641180349223</c:v>
                </c:pt>
                <c:pt idx="101">
                  <c:v>46.064776981203984</c:v>
                </c:pt>
                <c:pt idx="102">
                  <c:v>47.53884984460251</c:v>
                </c:pt>
                <c:pt idx="103">
                  <c:v>50.391180835278661</c:v>
                </c:pt>
                <c:pt idx="104">
                  <c:v>54.825604748783185</c:v>
                </c:pt>
                <c:pt idx="105">
                  <c:v>59.650257966676108</c:v>
                </c:pt>
                <c:pt idx="106">
                  <c:v>64.899480667743603</c:v>
                </c:pt>
                <c:pt idx="107">
                  <c:v>59.447924291653138</c:v>
                </c:pt>
                <c:pt idx="108">
                  <c:v>56.118840531320558</c:v>
                </c:pt>
                <c:pt idx="109">
                  <c:v>52.976185461566608</c:v>
                </c:pt>
                <c:pt idx="110">
                  <c:v>50.009519075718877</c:v>
                </c:pt>
                <c:pt idx="111">
                  <c:v>48.60925254159875</c:v>
                </c:pt>
                <c:pt idx="112">
                  <c:v>48.60925254159875</c:v>
                </c:pt>
                <c:pt idx="113">
                  <c:v>48.60925254159875</c:v>
                </c:pt>
                <c:pt idx="114">
                  <c:v>48.60925254159875</c:v>
                </c:pt>
                <c:pt idx="115">
                  <c:v>49.970311612763517</c:v>
                </c:pt>
                <c:pt idx="116">
                  <c:v>52.768649063078271</c:v>
                </c:pt>
                <c:pt idx="117">
                  <c:v>55.723693410610657</c:v>
                </c:pt>
                <c:pt idx="118">
                  <c:v>58.844220241604852</c:v>
                </c:pt>
                <c:pt idx="119">
                  <c:v>63.787134741899663</c:v>
                </c:pt>
                <c:pt idx="120">
                  <c:v>58.173866884612494</c:v>
                </c:pt>
                <c:pt idx="121">
                  <c:v>53.054566598766598</c:v>
                </c:pt>
                <c:pt idx="122">
                  <c:v>48.385764738075139</c:v>
                </c:pt>
                <c:pt idx="123">
                  <c:v>45.482618853790633</c:v>
                </c:pt>
                <c:pt idx="124">
                  <c:v>44.027175050469332</c:v>
                </c:pt>
                <c:pt idx="125">
                  <c:v>42.618305448854315</c:v>
                </c:pt>
                <c:pt idx="126">
                  <c:v>41.254519674490979</c:v>
                </c:pt>
                <c:pt idx="127">
                  <c:v>41.089501595793017</c:v>
                </c:pt>
                <c:pt idx="128">
                  <c:v>42.075649634092052</c:v>
                </c:pt>
                <c:pt idx="129">
                  <c:v>43.085465225310259</c:v>
                </c:pt>
                <c:pt idx="130">
                  <c:v>44.119516390717706</c:v>
                </c:pt>
                <c:pt idx="131">
                  <c:v>46.413731243035031</c:v>
                </c:pt>
                <c:pt idx="132">
                  <c:v>50.126829742477831</c:v>
                </c:pt>
                <c:pt idx="133">
                  <c:v>54.13697612187606</c:v>
                </c:pt>
                <c:pt idx="134">
                  <c:v>58.467934211626144</c:v>
                </c:pt>
                <c:pt idx="135">
                  <c:v>53.08888426415654</c:v>
                </c:pt>
                <c:pt idx="136">
                  <c:v>49.691195671250526</c:v>
                </c:pt>
                <c:pt idx="137">
                  <c:v>46.510959148290496</c:v>
                </c:pt>
                <c:pt idx="138">
                  <c:v>43.534257762799903</c:v>
                </c:pt>
                <c:pt idx="139">
                  <c:v>41.96702448333911</c:v>
                </c:pt>
                <c:pt idx="140">
                  <c:v>41.631288287472394</c:v>
                </c:pt>
                <c:pt idx="141">
                  <c:v>41.298237981172612</c:v>
                </c:pt>
                <c:pt idx="142">
                  <c:v>40.967852077323229</c:v>
                </c:pt>
                <c:pt idx="143">
                  <c:v>41.787209118869697</c:v>
                </c:pt>
                <c:pt idx="144">
                  <c:v>43.792995156575444</c:v>
                </c:pt>
                <c:pt idx="145">
                  <c:v>45.895058924091067</c:v>
                </c:pt>
                <c:pt idx="146">
                  <c:v>48.098021752447437</c:v>
                </c:pt>
                <c:pt idx="147">
                  <c:v>51.753471405633441</c:v>
                </c:pt>
                <c:pt idx="148">
                  <c:v>46.785138150692632</c:v>
                </c:pt>
                <c:pt idx="149">
                  <c:v>42.293764888226136</c:v>
                </c:pt>
                <c:pt idx="150">
                  <c:v>38.233563458956425</c:v>
                </c:pt>
                <c:pt idx="151">
                  <c:v>35.633681143747388</c:v>
                </c:pt>
                <c:pt idx="152">
                  <c:v>34.208333897997491</c:v>
                </c:pt>
                <c:pt idx="153">
                  <c:v>32.84000054207759</c:v>
                </c:pt>
                <c:pt idx="154">
                  <c:v>31.526400520394485</c:v>
                </c:pt>
                <c:pt idx="155">
                  <c:v>31.148083714149752</c:v>
                </c:pt>
                <c:pt idx="156">
                  <c:v>31.646453053576149</c:v>
                </c:pt>
                <c:pt idx="157">
                  <c:v>32.152796302433366</c:v>
                </c:pt>
                <c:pt idx="158">
                  <c:v>32.667241043272298</c:v>
                </c:pt>
                <c:pt idx="159">
                  <c:v>34.104599649176279</c:v>
                </c:pt>
                <c:pt idx="160">
                  <c:v>36.560130823916971</c:v>
                </c:pt>
                <c:pt idx="161">
                  <c:v>39.19246024323899</c:v>
                </c:pt>
                <c:pt idx="162">
                  <c:v>42.014317380752196</c:v>
                </c:pt>
                <c:pt idx="163">
                  <c:v>46.215749118827418</c:v>
                </c:pt>
                <c:pt idx="164">
                  <c:v>42.888215182271843</c:v>
                </c:pt>
                <c:pt idx="165">
                  <c:v>39.800263689148267</c:v>
                </c:pt>
                <c:pt idx="166">
                  <c:v>36.934644703529592</c:v>
                </c:pt>
                <c:pt idx="167">
                  <c:v>35.309520336574288</c:v>
                </c:pt>
                <c:pt idx="168">
                  <c:v>34.744568011189102</c:v>
                </c:pt>
                <c:pt idx="169">
                  <c:v>34.188654923010077</c:v>
                </c:pt>
                <c:pt idx="170">
                  <c:v>33.641636444241918</c:v>
                </c:pt>
                <c:pt idx="171">
                  <c:v>34.04533608157282</c:v>
                </c:pt>
                <c:pt idx="172">
                  <c:v>35.407149524835731</c:v>
                </c:pt>
                <c:pt idx="173">
                  <c:v>36.82343550582916</c:v>
                </c:pt>
                <c:pt idx="174">
                  <c:v>38.296372926062325</c:v>
                </c:pt>
                <c:pt idx="175">
                  <c:v>40.900526285034566</c:v>
                </c:pt>
                <c:pt idx="176">
                  <c:v>44.826976808397887</c:v>
                </c:pt>
                <c:pt idx="177">
                  <c:v>49.130366582004086</c:v>
                </c:pt>
                <c:pt idx="178">
                  <c:v>53.846881773876476</c:v>
                </c:pt>
                <c:pt idx="179">
                  <c:v>49.754518759061867</c:v>
                </c:pt>
                <c:pt idx="180">
                  <c:v>47.366301858626898</c:v>
                </c:pt>
                <c:pt idx="181">
                  <c:v>45.092719369412805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56-4469-A2AA-C70804732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472400"/>
        <c:axId val="8894728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RandomFunction!$B$9</c15:sqref>
                        </c15:formulaRef>
                      </c:ext>
                    </c:extLst>
                    <c:strCache>
                      <c:ptCount val="1"/>
                      <c:pt idx="0">
                        <c:v>DayNo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RandomFunction!$B$10:$B$191</c15:sqref>
                        </c15:formulaRef>
                      </c:ext>
                    </c:extLst>
                    <c:numCache>
                      <c:formatCode>0</c:formatCode>
                      <c:ptCount val="182"/>
                      <c:pt idx="0">
                        <c:v>7.5</c:v>
                      </c:pt>
                      <c:pt idx="1">
                        <c:v>8</c:v>
                      </c:pt>
                      <c:pt idx="2">
                        <c:v>8.5</c:v>
                      </c:pt>
                      <c:pt idx="3">
                        <c:v>9</c:v>
                      </c:pt>
                      <c:pt idx="4">
                        <c:v>9.5</c:v>
                      </c:pt>
                      <c:pt idx="5">
                        <c:v>10</c:v>
                      </c:pt>
                      <c:pt idx="6">
                        <c:v>10.5</c:v>
                      </c:pt>
                      <c:pt idx="7">
                        <c:v>11</c:v>
                      </c:pt>
                      <c:pt idx="8">
                        <c:v>11.5</c:v>
                      </c:pt>
                      <c:pt idx="9">
                        <c:v>12</c:v>
                      </c:pt>
                      <c:pt idx="10">
                        <c:v>12.5</c:v>
                      </c:pt>
                      <c:pt idx="11">
                        <c:v>13</c:v>
                      </c:pt>
                      <c:pt idx="12">
                        <c:v>13.5</c:v>
                      </c:pt>
                      <c:pt idx="13">
                        <c:v>14</c:v>
                      </c:pt>
                      <c:pt idx="14">
                        <c:v>14.5</c:v>
                      </c:pt>
                      <c:pt idx="15">
                        <c:v>15</c:v>
                      </c:pt>
                      <c:pt idx="16">
                        <c:v>15.5</c:v>
                      </c:pt>
                      <c:pt idx="17">
                        <c:v>16</c:v>
                      </c:pt>
                      <c:pt idx="18">
                        <c:v>16.5</c:v>
                      </c:pt>
                      <c:pt idx="19">
                        <c:v>17</c:v>
                      </c:pt>
                      <c:pt idx="20">
                        <c:v>17.5</c:v>
                      </c:pt>
                      <c:pt idx="21">
                        <c:v>18</c:v>
                      </c:pt>
                      <c:pt idx="22">
                        <c:v>18.5</c:v>
                      </c:pt>
                      <c:pt idx="23">
                        <c:v>19</c:v>
                      </c:pt>
                      <c:pt idx="24">
                        <c:v>19.5</c:v>
                      </c:pt>
                      <c:pt idx="25">
                        <c:v>20</c:v>
                      </c:pt>
                      <c:pt idx="26">
                        <c:v>20.5</c:v>
                      </c:pt>
                      <c:pt idx="27">
                        <c:v>21</c:v>
                      </c:pt>
                      <c:pt idx="28">
                        <c:v>21.5</c:v>
                      </c:pt>
                      <c:pt idx="29">
                        <c:v>22</c:v>
                      </c:pt>
                      <c:pt idx="30">
                        <c:v>22.5</c:v>
                      </c:pt>
                      <c:pt idx="31">
                        <c:v>23</c:v>
                      </c:pt>
                      <c:pt idx="32">
                        <c:v>23.5</c:v>
                      </c:pt>
                      <c:pt idx="33">
                        <c:v>24</c:v>
                      </c:pt>
                      <c:pt idx="34">
                        <c:v>24.5</c:v>
                      </c:pt>
                      <c:pt idx="35">
                        <c:v>25</c:v>
                      </c:pt>
                      <c:pt idx="36">
                        <c:v>25.5</c:v>
                      </c:pt>
                      <c:pt idx="37">
                        <c:v>26</c:v>
                      </c:pt>
                      <c:pt idx="38">
                        <c:v>26.5</c:v>
                      </c:pt>
                      <c:pt idx="39">
                        <c:v>27</c:v>
                      </c:pt>
                      <c:pt idx="40">
                        <c:v>27.5</c:v>
                      </c:pt>
                      <c:pt idx="41">
                        <c:v>28</c:v>
                      </c:pt>
                      <c:pt idx="42">
                        <c:v>28.5</c:v>
                      </c:pt>
                      <c:pt idx="43">
                        <c:v>29</c:v>
                      </c:pt>
                      <c:pt idx="44">
                        <c:v>29.5</c:v>
                      </c:pt>
                      <c:pt idx="45">
                        <c:v>30</c:v>
                      </c:pt>
                      <c:pt idx="46">
                        <c:v>30.5</c:v>
                      </c:pt>
                      <c:pt idx="47">
                        <c:v>31</c:v>
                      </c:pt>
                      <c:pt idx="48">
                        <c:v>31.5</c:v>
                      </c:pt>
                      <c:pt idx="49">
                        <c:v>32</c:v>
                      </c:pt>
                      <c:pt idx="50">
                        <c:v>32.5</c:v>
                      </c:pt>
                      <c:pt idx="51">
                        <c:v>33</c:v>
                      </c:pt>
                      <c:pt idx="52">
                        <c:v>33.5</c:v>
                      </c:pt>
                      <c:pt idx="53">
                        <c:v>34</c:v>
                      </c:pt>
                      <c:pt idx="54">
                        <c:v>34.5</c:v>
                      </c:pt>
                      <c:pt idx="55">
                        <c:v>35</c:v>
                      </c:pt>
                      <c:pt idx="56">
                        <c:v>35.5</c:v>
                      </c:pt>
                      <c:pt idx="57">
                        <c:v>36</c:v>
                      </c:pt>
                      <c:pt idx="58">
                        <c:v>36.5</c:v>
                      </c:pt>
                      <c:pt idx="59">
                        <c:v>37</c:v>
                      </c:pt>
                      <c:pt idx="60">
                        <c:v>37.5</c:v>
                      </c:pt>
                      <c:pt idx="61">
                        <c:v>38</c:v>
                      </c:pt>
                      <c:pt idx="62">
                        <c:v>38.5</c:v>
                      </c:pt>
                      <c:pt idx="63">
                        <c:v>39</c:v>
                      </c:pt>
                      <c:pt idx="64">
                        <c:v>39.5</c:v>
                      </c:pt>
                      <c:pt idx="65">
                        <c:v>40</c:v>
                      </c:pt>
                      <c:pt idx="66">
                        <c:v>40.5</c:v>
                      </c:pt>
                      <c:pt idx="67">
                        <c:v>41</c:v>
                      </c:pt>
                      <c:pt idx="68">
                        <c:v>41.5</c:v>
                      </c:pt>
                      <c:pt idx="69">
                        <c:v>42</c:v>
                      </c:pt>
                      <c:pt idx="70">
                        <c:v>42.5</c:v>
                      </c:pt>
                      <c:pt idx="71">
                        <c:v>43</c:v>
                      </c:pt>
                      <c:pt idx="72">
                        <c:v>43.5</c:v>
                      </c:pt>
                      <c:pt idx="73">
                        <c:v>44</c:v>
                      </c:pt>
                      <c:pt idx="74">
                        <c:v>44.5</c:v>
                      </c:pt>
                      <c:pt idx="75">
                        <c:v>45</c:v>
                      </c:pt>
                      <c:pt idx="76">
                        <c:v>45.5</c:v>
                      </c:pt>
                      <c:pt idx="77">
                        <c:v>46</c:v>
                      </c:pt>
                      <c:pt idx="78">
                        <c:v>46.5</c:v>
                      </c:pt>
                      <c:pt idx="79">
                        <c:v>47</c:v>
                      </c:pt>
                      <c:pt idx="80">
                        <c:v>47.5</c:v>
                      </c:pt>
                      <c:pt idx="81">
                        <c:v>48</c:v>
                      </c:pt>
                      <c:pt idx="82">
                        <c:v>48.5</c:v>
                      </c:pt>
                      <c:pt idx="83">
                        <c:v>49</c:v>
                      </c:pt>
                      <c:pt idx="84">
                        <c:v>49.5</c:v>
                      </c:pt>
                      <c:pt idx="85">
                        <c:v>50</c:v>
                      </c:pt>
                      <c:pt idx="86">
                        <c:v>50.5</c:v>
                      </c:pt>
                      <c:pt idx="87">
                        <c:v>51</c:v>
                      </c:pt>
                      <c:pt idx="88">
                        <c:v>51.5</c:v>
                      </c:pt>
                      <c:pt idx="89">
                        <c:v>52</c:v>
                      </c:pt>
                      <c:pt idx="90">
                        <c:v>52.5</c:v>
                      </c:pt>
                      <c:pt idx="91">
                        <c:v>53</c:v>
                      </c:pt>
                      <c:pt idx="92">
                        <c:v>53.5</c:v>
                      </c:pt>
                      <c:pt idx="93">
                        <c:v>54</c:v>
                      </c:pt>
                      <c:pt idx="94">
                        <c:v>54.5</c:v>
                      </c:pt>
                      <c:pt idx="95">
                        <c:v>55</c:v>
                      </c:pt>
                      <c:pt idx="96">
                        <c:v>55.5</c:v>
                      </c:pt>
                      <c:pt idx="97">
                        <c:v>56</c:v>
                      </c:pt>
                      <c:pt idx="98">
                        <c:v>56.5</c:v>
                      </c:pt>
                      <c:pt idx="99">
                        <c:v>57</c:v>
                      </c:pt>
                      <c:pt idx="100">
                        <c:v>57.5</c:v>
                      </c:pt>
                      <c:pt idx="101">
                        <c:v>58</c:v>
                      </c:pt>
                      <c:pt idx="102">
                        <c:v>58.5</c:v>
                      </c:pt>
                      <c:pt idx="103">
                        <c:v>59</c:v>
                      </c:pt>
                      <c:pt idx="104">
                        <c:v>59.5</c:v>
                      </c:pt>
                      <c:pt idx="105">
                        <c:v>60</c:v>
                      </c:pt>
                      <c:pt idx="106">
                        <c:v>60.5</c:v>
                      </c:pt>
                      <c:pt idx="107">
                        <c:v>61</c:v>
                      </c:pt>
                      <c:pt idx="108">
                        <c:v>61.5</c:v>
                      </c:pt>
                      <c:pt idx="109">
                        <c:v>62</c:v>
                      </c:pt>
                      <c:pt idx="110">
                        <c:v>62.5</c:v>
                      </c:pt>
                      <c:pt idx="111">
                        <c:v>63</c:v>
                      </c:pt>
                      <c:pt idx="112">
                        <c:v>63.5</c:v>
                      </c:pt>
                      <c:pt idx="113">
                        <c:v>64</c:v>
                      </c:pt>
                      <c:pt idx="114">
                        <c:v>64.5</c:v>
                      </c:pt>
                      <c:pt idx="115">
                        <c:v>65</c:v>
                      </c:pt>
                      <c:pt idx="116">
                        <c:v>65.5</c:v>
                      </c:pt>
                      <c:pt idx="117">
                        <c:v>66</c:v>
                      </c:pt>
                      <c:pt idx="118">
                        <c:v>66.5</c:v>
                      </c:pt>
                      <c:pt idx="119">
                        <c:v>67</c:v>
                      </c:pt>
                      <c:pt idx="120">
                        <c:v>67.5</c:v>
                      </c:pt>
                      <c:pt idx="121">
                        <c:v>68</c:v>
                      </c:pt>
                      <c:pt idx="122">
                        <c:v>68.5</c:v>
                      </c:pt>
                      <c:pt idx="123">
                        <c:v>69</c:v>
                      </c:pt>
                      <c:pt idx="124">
                        <c:v>69.5</c:v>
                      </c:pt>
                      <c:pt idx="125">
                        <c:v>70</c:v>
                      </c:pt>
                      <c:pt idx="126">
                        <c:v>70.5</c:v>
                      </c:pt>
                      <c:pt idx="127">
                        <c:v>71</c:v>
                      </c:pt>
                      <c:pt idx="128">
                        <c:v>71.5</c:v>
                      </c:pt>
                      <c:pt idx="129">
                        <c:v>72</c:v>
                      </c:pt>
                      <c:pt idx="130">
                        <c:v>72.5</c:v>
                      </c:pt>
                      <c:pt idx="131">
                        <c:v>73</c:v>
                      </c:pt>
                      <c:pt idx="132">
                        <c:v>73.5</c:v>
                      </c:pt>
                      <c:pt idx="133">
                        <c:v>74</c:v>
                      </c:pt>
                      <c:pt idx="134">
                        <c:v>74.5</c:v>
                      </c:pt>
                      <c:pt idx="135">
                        <c:v>75</c:v>
                      </c:pt>
                      <c:pt idx="136">
                        <c:v>75.5</c:v>
                      </c:pt>
                      <c:pt idx="137">
                        <c:v>76</c:v>
                      </c:pt>
                      <c:pt idx="138">
                        <c:v>76.5</c:v>
                      </c:pt>
                      <c:pt idx="139">
                        <c:v>77</c:v>
                      </c:pt>
                      <c:pt idx="140">
                        <c:v>77.5</c:v>
                      </c:pt>
                      <c:pt idx="141">
                        <c:v>78</c:v>
                      </c:pt>
                      <c:pt idx="142">
                        <c:v>78.5</c:v>
                      </c:pt>
                      <c:pt idx="143">
                        <c:v>79</c:v>
                      </c:pt>
                      <c:pt idx="144">
                        <c:v>79.5</c:v>
                      </c:pt>
                      <c:pt idx="145">
                        <c:v>80</c:v>
                      </c:pt>
                      <c:pt idx="146">
                        <c:v>80.5</c:v>
                      </c:pt>
                      <c:pt idx="147">
                        <c:v>81</c:v>
                      </c:pt>
                      <c:pt idx="148">
                        <c:v>81.5</c:v>
                      </c:pt>
                      <c:pt idx="149">
                        <c:v>82</c:v>
                      </c:pt>
                      <c:pt idx="150">
                        <c:v>82.5</c:v>
                      </c:pt>
                      <c:pt idx="151">
                        <c:v>83</c:v>
                      </c:pt>
                      <c:pt idx="152">
                        <c:v>83.5</c:v>
                      </c:pt>
                      <c:pt idx="153">
                        <c:v>84</c:v>
                      </c:pt>
                      <c:pt idx="154">
                        <c:v>84.5</c:v>
                      </c:pt>
                      <c:pt idx="155">
                        <c:v>85</c:v>
                      </c:pt>
                      <c:pt idx="156">
                        <c:v>85.5</c:v>
                      </c:pt>
                      <c:pt idx="157">
                        <c:v>86</c:v>
                      </c:pt>
                      <c:pt idx="158">
                        <c:v>86.5</c:v>
                      </c:pt>
                      <c:pt idx="159">
                        <c:v>87</c:v>
                      </c:pt>
                      <c:pt idx="160">
                        <c:v>87.5</c:v>
                      </c:pt>
                      <c:pt idx="161">
                        <c:v>88</c:v>
                      </c:pt>
                      <c:pt idx="162">
                        <c:v>88.5</c:v>
                      </c:pt>
                      <c:pt idx="163">
                        <c:v>89</c:v>
                      </c:pt>
                      <c:pt idx="164">
                        <c:v>89.5</c:v>
                      </c:pt>
                      <c:pt idx="165">
                        <c:v>90</c:v>
                      </c:pt>
                      <c:pt idx="166">
                        <c:v>90.5</c:v>
                      </c:pt>
                      <c:pt idx="167">
                        <c:v>91</c:v>
                      </c:pt>
                      <c:pt idx="168">
                        <c:v>91.5</c:v>
                      </c:pt>
                      <c:pt idx="169">
                        <c:v>92</c:v>
                      </c:pt>
                      <c:pt idx="170">
                        <c:v>92.5</c:v>
                      </c:pt>
                      <c:pt idx="171">
                        <c:v>93</c:v>
                      </c:pt>
                      <c:pt idx="172">
                        <c:v>93.5</c:v>
                      </c:pt>
                      <c:pt idx="173">
                        <c:v>94</c:v>
                      </c:pt>
                      <c:pt idx="174">
                        <c:v>94.5</c:v>
                      </c:pt>
                      <c:pt idx="175">
                        <c:v>95</c:v>
                      </c:pt>
                      <c:pt idx="176">
                        <c:v>95.5</c:v>
                      </c:pt>
                      <c:pt idx="177">
                        <c:v>96</c:v>
                      </c:pt>
                      <c:pt idx="178">
                        <c:v>96.5</c:v>
                      </c:pt>
                      <c:pt idx="179">
                        <c:v>97</c:v>
                      </c:pt>
                      <c:pt idx="180">
                        <c:v>97.5</c:v>
                      </c:pt>
                      <c:pt idx="181">
                        <c:v>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256-4469-A2AA-C7080473228F}"/>
                  </c:ext>
                </c:extLst>
              </c15:ser>
            </c15:filteredLineSeries>
          </c:ext>
        </c:extLst>
      </c:lineChart>
      <c:catAx>
        <c:axId val="889472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472880"/>
        <c:crosses val="autoZero"/>
        <c:auto val="1"/>
        <c:lblAlgn val="ctr"/>
        <c:lblOffset val="100"/>
        <c:noMultiLvlLbl val="0"/>
      </c:catAx>
      <c:valAx>
        <c:axId val="88947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47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7</xdr:row>
      <xdr:rowOff>91440</xdr:rowOff>
    </xdr:from>
    <xdr:to>
      <xdr:col>16</xdr:col>
      <xdr:colOff>495300</xdr:colOff>
      <xdr:row>22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769A56-4E3B-9E84-34A2-88B4FF1AE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7</xdr:row>
      <xdr:rowOff>91440</xdr:rowOff>
    </xdr:from>
    <xdr:to>
      <xdr:col>16</xdr:col>
      <xdr:colOff>495300</xdr:colOff>
      <xdr:row>22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A2749D-958E-4152-BBC5-F11A0D289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D80DD-5F2A-4572-BD3F-24AD48D575CE}">
  <sheetPr codeName="Sheet2"/>
  <dimension ref="A2:H191"/>
  <sheetViews>
    <sheetView tabSelected="1" topLeftCell="B1" workbookViewId="0">
      <selection activeCell="F10" sqref="F10"/>
    </sheetView>
  </sheetViews>
  <sheetFormatPr defaultRowHeight="14.4" x14ac:dyDescent="0.3"/>
  <cols>
    <col min="1" max="1" width="17" customWidth="1"/>
    <col min="2" max="2" width="10.5546875" bestFit="1" customWidth="1"/>
    <col min="3" max="3" width="9.5546875" customWidth="1"/>
    <col min="4" max="4" width="9.44140625" customWidth="1"/>
    <col min="5" max="5" width="8.88671875" customWidth="1"/>
    <col min="6" max="7" width="11.109375" customWidth="1"/>
  </cols>
  <sheetData>
    <row r="2" spans="1:8" x14ac:dyDescent="0.3">
      <c r="A2" t="s">
        <v>11</v>
      </c>
    </row>
    <row r="4" spans="1:8" x14ac:dyDescent="0.3">
      <c r="A4" t="s">
        <v>1</v>
      </c>
    </row>
    <row r="5" spans="1:8" x14ac:dyDescent="0.3">
      <c r="A5" t="s">
        <v>0</v>
      </c>
      <c r="B5">
        <v>10</v>
      </c>
      <c r="D5" t="s">
        <v>12</v>
      </c>
    </row>
    <row r="6" spans="1:8" x14ac:dyDescent="0.3">
      <c r="A6" t="s">
        <v>6</v>
      </c>
      <c r="B6">
        <v>2</v>
      </c>
    </row>
    <row r="7" spans="1:8" x14ac:dyDescent="0.3">
      <c r="A7" t="s">
        <v>13</v>
      </c>
    </row>
    <row r="8" spans="1:8" x14ac:dyDescent="0.3">
      <c r="C8" s="1"/>
    </row>
    <row r="9" spans="1:8" x14ac:dyDescent="0.3">
      <c r="A9" s="3" t="s">
        <v>3</v>
      </c>
      <c r="B9" s="3" t="s">
        <v>2</v>
      </c>
      <c r="C9" s="3" t="s">
        <v>4</v>
      </c>
      <c r="D9" s="4" t="s">
        <v>10</v>
      </c>
      <c r="E9" s="3" t="s">
        <v>5</v>
      </c>
      <c r="F9" s="3" t="s">
        <v>7</v>
      </c>
      <c r="G9" s="3" t="s">
        <v>9</v>
      </c>
      <c r="H9" s="3" t="s">
        <v>8</v>
      </c>
    </row>
    <row r="10" spans="1:8" x14ac:dyDescent="0.3">
      <c r="A10" s="1">
        <v>45292</v>
      </c>
      <c r="B10" s="2">
        <f>A10-$A$10</f>
        <v>0</v>
      </c>
      <c r="C10">
        <f ca="1">ROUND(RAND(),2)</f>
        <v>0.38</v>
      </c>
      <c r="D10">
        <f ca="1">$B$6*$B$5*C10</f>
        <v>7.6</v>
      </c>
      <c r="E10">
        <f ca="1">IF(D10&gt;$B$5,D10-(2*$B$5),D10)</f>
        <v>7.6</v>
      </c>
      <c r="F10">
        <f ca="1">G10*(E10/100)</f>
        <v>3.8</v>
      </c>
      <c r="G10">
        <v>50</v>
      </c>
      <c r="H10">
        <f ca="1">G10+F10</f>
        <v>53.8</v>
      </c>
    </row>
    <row r="11" spans="1:8" x14ac:dyDescent="0.3">
      <c r="A11" s="1">
        <v>45293</v>
      </c>
      <c r="B11" s="2">
        <f t="shared" ref="B11:B74" si="0">A11-$A$10</f>
        <v>1</v>
      </c>
      <c r="C11">
        <f t="shared" ref="C11:C74" ca="1" si="1">ROUND(RAND(),2)</f>
        <v>0.11</v>
      </c>
      <c r="D11">
        <f t="shared" ref="D11:D74" ca="1" si="2">$B$6*$B$5*C11</f>
        <v>2.2000000000000002</v>
      </c>
      <c r="E11">
        <f t="shared" ref="E11:E74" ca="1" si="3">IF(D11&gt;$B$5,D11-(2*$B$5),D11)</f>
        <v>2.2000000000000002</v>
      </c>
      <c r="F11">
        <f t="shared" ref="F11:F74" ca="1" si="4">G11*(E11/100)</f>
        <v>1.1836</v>
      </c>
      <c r="G11">
        <f ca="1">H10</f>
        <v>53.8</v>
      </c>
      <c r="H11">
        <f t="shared" ref="H11:H22" ca="1" si="5">G11+F11</f>
        <v>54.983599999999996</v>
      </c>
    </row>
    <row r="12" spans="1:8" x14ac:dyDescent="0.3">
      <c r="A12" s="1">
        <v>45294</v>
      </c>
      <c r="B12" s="2">
        <f t="shared" si="0"/>
        <v>2</v>
      </c>
      <c r="C12">
        <f t="shared" ca="1" si="1"/>
        <v>0.59</v>
      </c>
      <c r="D12">
        <f t="shared" ca="1" si="2"/>
        <v>11.799999999999999</v>
      </c>
      <c r="E12">
        <f t="shared" ca="1" si="3"/>
        <v>-8.2000000000000011</v>
      </c>
      <c r="F12">
        <f t="shared" ca="1" si="4"/>
        <v>-4.5086552000000006</v>
      </c>
      <c r="G12">
        <f t="shared" ref="G12:G75" ca="1" si="6">H11</f>
        <v>54.983599999999996</v>
      </c>
      <c r="H12">
        <f t="shared" ca="1" si="5"/>
        <v>50.474944799999996</v>
      </c>
    </row>
    <row r="13" spans="1:8" x14ac:dyDescent="0.3">
      <c r="A13" s="1">
        <v>45295</v>
      </c>
      <c r="B13" s="2">
        <f t="shared" si="0"/>
        <v>3</v>
      </c>
      <c r="C13">
        <f t="shared" ca="1" si="1"/>
        <v>0.71</v>
      </c>
      <c r="D13">
        <f t="shared" ca="1" si="2"/>
        <v>14.2</v>
      </c>
      <c r="E13">
        <f t="shared" ca="1" si="3"/>
        <v>-5.8000000000000007</v>
      </c>
      <c r="F13">
        <f t="shared" ca="1" si="4"/>
        <v>-2.9275467984000003</v>
      </c>
      <c r="G13">
        <f t="shared" ca="1" si="6"/>
        <v>50.474944799999996</v>
      </c>
      <c r="H13">
        <f t="shared" ca="1" si="5"/>
        <v>47.547398001599994</v>
      </c>
    </row>
    <row r="14" spans="1:8" x14ac:dyDescent="0.3">
      <c r="A14" s="1">
        <v>45296</v>
      </c>
      <c r="B14" s="2">
        <f t="shared" si="0"/>
        <v>4</v>
      </c>
      <c r="C14">
        <f t="shared" ca="1" si="1"/>
        <v>0.69</v>
      </c>
      <c r="D14">
        <f t="shared" ca="1" si="2"/>
        <v>13.799999999999999</v>
      </c>
      <c r="E14">
        <f t="shared" ca="1" si="3"/>
        <v>-6.2000000000000011</v>
      </c>
      <c r="F14">
        <f t="shared" ca="1" si="4"/>
        <v>-2.9479386760992004</v>
      </c>
      <c r="G14">
        <f t="shared" ca="1" si="6"/>
        <v>47.547398001599994</v>
      </c>
      <c r="H14">
        <f t="shared" ca="1" si="5"/>
        <v>44.599459325500796</v>
      </c>
    </row>
    <row r="15" spans="1:8" x14ac:dyDescent="0.3">
      <c r="A15" s="1">
        <v>45297</v>
      </c>
      <c r="B15" s="2">
        <f t="shared" si="0"/>
        <v>5</v>
      </c>
      <c r="C15">
        <f t="shared" ca="1" si="1"/>
        <v>0.66</v>
      </c>
      <c r="D15">
        <f t="shared" ca="1" si="2"/>
        <v>13.200000000000001</v>
      </c>
      <c r="E15">
        <f t="shared" ca="1" si="3"/>
        <v>-6.7999999999999989</v>
      </c>
      <c r="F15">
        <f t="shared" ca="1" si="4"/>
        <v>-3.0327632341340536</v>
      </c>
      <c r="G15">
        <f t="shared" ca="1" si="6"/>
        <v>44.599459325500796</v>
      </c>
      <c r="H15">
        <f t="shared" ca="1" si="5"/>
        <v>41.566696091366744</v>
      </c>
    </row>
    <row r="16" spans="1:8" x14ac:dyDescent="0.3">
      <c r="A16" s="1">
        <v>45298</v>
      </c>
      <c r="B16" s="2">
        <f t="shared" si="0"/>
        <v>6</v>
      </c>
      <c r="C16">
        <f t="shared" ca="1" si="1"/>
        <v>0.41</v>
      </c>
      <c r="D16">
        <f t="shared" ca="1" si="2"/>
        <v>8.1999999999999993</v>
      </c>
      <c r="E16">
        <f t="shared" ca="1" si="3"/>
        <v>8.1999999999999993</v>
      </c>
      <c r="F16">
        <f t="shared" ca="1" si="4"/>
        <v>3.4084690794920727</v>
      </c>
      <c r="G16">
        <f t="shared" ca="1" si="6"/>
        <v>41.566696091366744</v>
      </c>
      <c r="H16">
        <f t="shared" ca="1" si="5"/>
        <v>44.975165170858816</v>
      </c>
    </row>
    <row r="17" spans="1:8" x14ac:dyDescent="0.3">
      <c r="A17" s="1">
        <v>45299</v>
      </c>
      <c r="B17" s="2">
        <f t="shared" si="0"/>
        <v>7</v>
      </c>
      <c r="C17">
        <f t="shared" ca="1" si="1"/>
        <v>0.33</v>
      </c>
      <c r="D17">
        <f t="shared" ca="1" si="2"/>
        <v>6.6000000000000005</v>
      </c>
      <c r="E17">
        <f t="shared" ca="1" si="3"/>
        <v>6.6000000000000005</v>
      </c>
      <c r="F17">
        <f t="shared" ca="1" si="4"/>
        <v>2.9683609012766818</v>
      </c>
      <c r="G17">
        <f t="shared" ca="1" si="6"/>
        <v>44.975165170858816</v>
      </c>
      <c r="H17">
        <f t="shared" ca="1" si="5"/>
        <v>47.943526072135498</v>
      </c>
    </row>
    <row r="18" spans="1:8" x14ac:dyDescent="0.3">
      <c r="A18" s="1">
        <v>45300</v>
      </c>
      <c r="B18" s="2">
        <f t="shared" si="0"/>
        <v>8</v>
      </c>
      <c r="C18">
        <f t="shared" ca="1" si="1"/>
        <v>0.5</v>
      </c>
      <c r="D18">
        <f t="shared" ca="1" si="2"/>
        <v>10</v>
      </c>
      <c r="E18">
        <f t="shared" ca="1" si="3"/>
        <v>10</v>
      </c>
      <c r="F18">
        <f t="shared" ca="1" si="4"/>
        <v>4.7943526072135496</v>
      </c>
      <c r="G18">
        <f t="shared" ca="1" si="6"/>
        <v>47.943526072135498</v>
      </c>
      <c r="H18">
        <f t="shared" ca="1" si="5"/>
        <v>52.737878679349045</v>
      </c>
    </row>
    <row r="19" spans="1:8" x14ac:dyDescent="0.3">
      <c r="A19" s="1">
        <v>45301</v>
      </c>
      <c r="B19" s="2">
        <f t="shared" si="0"/>
        <v>9</v>
      </c>
      <c r="C19">
        <f t="shared" ca="1" si="1"/>
        <v>0.55000000000000004</v>
      </c>
      <c r="D19">
        <f t="shared" ca="1" si="2"/>
        <v>11</v>
      </c>
      <c r="E19">
        <f t="shared" ca="1" si="3"/>
        <v>-9</v>
      </c>
      <c r="F19">
        <f t="shared" ca="1" si="4"/>
        <v>-4.7464090811414135</v>
      </c>
      <c r="G19">
        <f t="shared" ca="1" si="6"/>
        <v>52.737878679349045</v>
      </c>
      <c r="H19">
        <f t="shared" ca="1" si="5"/>
        <v>47.99146959820763</v>
      </c>
    </row>
    <row r="20" spans="1:8" x14ac:dyDescent="0.3">
      <c r="A20" s="1">
        <v>45302</v>
      </c>
      <c r="B20" s="2">
        <f t="shared" si="0"/>
        <v>10</v>
      </c>
      <c r="C20">
        <f t="shared" ca="1" si="1"/>
        <v>0.76</v>
      </c>
      <c r="D20">
        <f t="shared" ca="1" si="2"/>
        <v>15.2</v>
      </c>
      <c r="E20">
        <f t="shared" ca="1" si="3"/>
        <v>-4.8000000000000007</v>
      </c>
      <c r="F20">
        <f t="shared" ca="1" si="4"/>
        <v>-2.3035905407139667</v>
      </c>
      <c r="G20">
        <f t="shared" ca="1" si="6"/>
        <v>47.99146959820763</v>
      </c>
      <c r="H20">
        <f t="shared" ca="1" si="5"/>
        <v>45.68787905749366</v>
      </c>
    </row>
    <row r="21" spans="1:8" x14ac:dyDescent="0.3">
      <c r="A21" s="1">
        <v>45303</v>
      </c>
      <c r="B21" s="2">
        <f t="shared" si="0"/>
        <v>11</v>
      </c>
      <c r="C21">
        <f t="shared" ca="1" si="1"/>
        <v>0.43</v>
      </c>
      <c r="D21">
        <f t="shared" ca="1" si="2"/>
        <v>8.6</v>
      </c>
      <c r="E21">
        <f t="shared" ca="1" si="3"/>
        <v>8.6</v>
      </c>
      <c r="F21">
        <f t="shared" ca="1" si="4"/>
        <v>3.9291575989444545</v>
      </c>
      <c r="G21">
        <f t="shared" ca="1" si="6"/>
        <v>45.68787905749366</v>
      </c>
      <c r="H21">
        <f t="shared" ca="1" si="5"/>
        <v>49.617036656438117</v>
      </c>
    </row>
    <row r="22" spans="1:8" x14ac:dyDescent="0.3">
      <c r="A22" s="1">
        <v>45304</v>
      </c>
      <c r="B22" s="2">
        <f t="shared" si="0"/>
        <v>12</v>
      </c>
      <c r="C22">
        <f t="shared" ca="1" si="1"/>
        <v>0.43</v>
      </c>
      <c r="D22">
        <f t="shared" ca="1" si="2"/>
        <v>8.6</v>
      </c>
      <c r="E22">
        <f t="shared" ca="1" si="3"/>
        <v>8.6</v>
      </c>
      <c r="F22">
        <f t="shared" ca="1" si="4"/>
        <v>4.2670651524536778</v>
      </c>
      <c r="G22">
        <f t="shared" ca="1" si="6"/>
        <v>49.617036656438117</v>
      </c>
      <c r="H22">
        <f t="shared" ca="1" si="5"/>
        <v>53.884101808891792</v>
      </c>
    </row>
    <row r="23" spans="1:8" x14ac:dyDescent="0.3">
      <c r="A23" s="1">
        <v>45305</v>
      </c>
      <c r="B23" s="2">
        <f t="shared" si="0"/>
        <v>13</v>
      </c>
      <c r="C23">
        <f t="shared" ca="1" si="1"/>
        <v>0.81</v>
      </c>
      <c r="D23">
        <f t="shared" ca="1" si="2"/>
        <v>16.200000000000003</v>
      </c>
      <c r="E23">
        <f t="shared" ca="1" si="3"/>
        <v>-3.7999999999999972</v>
      </c>
      <c r="F23">
        <f t="shared" ca="1" si="4"/>
        <v>-2.0475958687378863</v>
      </c>
      <c r="G23">
        <f t="shared" ca="1" si="6"/>
        <v>53.884101808891792</v>
      </c>
      <c r="H23">
        <f t="shared" ref="H23:H41" ca="1" si="7">G23+F23</f>
        <v>51.836505940153906</v>
      </c>
    </row>
    <row r="24" spans="1:8" x14ac:dyDescent="0.3">
      <c r="A24" s="1">
        <v>45306</v>
      </c>
      <c r="B24" s="2">
        <f t="shared" si="0"/>
        <v>14</v>
      </c>
      <c r="C24">
        <f t="shared" ca="1" si="1"/>
        <v>0.03</v>
      </c>
      <c r="D24">
        <f t="shared" ca="1" si="2"/>
        <v>0.6</v>
      </c>
      <c r="E24">
        <f t="shared" ca="1" si="3"/>
        <v>0.6</v>
      </c>
      <c r="F24">
        <f t="shared" ca="1" si="4"/>
        <v>0.31101903564092342</v>
      </c>
      <c r="G24">
        <f t="shared" ca="1" si="6"/>
        <v>51.836505940153906</v>
      </c>
      <c r="H24">
        <f t="shared" ca="1" si="7"/>
        <v>52.14752497579483</v>
      </c>
    </row>
    <row r="25" spans="1:8" x14ac:dyDescent="0.3">
      <c r="A25" s="1">
        <v>45307</v>
      </c>
      <c r="B25" s="2">
        <f t="shared" si="0"/>
        <v>15</v>
      </c>
      <c r="C25">
        <f t="shared" ca="1" si="1"/>
        <v>0.93</v>
      </c>
      <c r="D25">
        <f t="shared" ca="1" si="2"/>
        <v>18.600000000000001</v>
      </c>
      <c r="E25">
        <f t="shared" ca="1" si="3"/>
        <v>-1.3999999999999986</v>
      </c>
      <c r="F25">
        <f t="shared" ca="1" si="4"/>
        <v>-0.73006534966112691</v>
      </c>
      <c r="G25">
        <f t="shared" ca="1" si="6"/>
        <v>52.14752497579483</v>
      </c>
      <c r="H25">
        <f t="shared" ca="1" si="7"/>
        <v>51.417459626133706</v>
      </c>
    </row>
    <row r="26" spans="1:8" x14ac:dyDescent="0.3">
      <c r="A26" s="1">
        <v>45308</v>
      </c>
      <c r="B26" s="2">
        <f t="shared" si="0"/>
        <v>16</v>
      </c>
      <c r="C26">
        <f t="shared" ca="1" si="1"/>
        <v>0.23</v>
      </c>
      <c r="D26">
        <f t="shared" ca="1" si="2"/>
        <v>4.6000000000000005</v>
      </c>
      <c r="E26">
        <f t="shared" ca="1" si="3"/>
        <v>4.6000000000000005</v>
      </c>
      <c r="F26">
        <f t="shared" ca="1" si="4"/>
        <v>2.3652031428021507</v>
      </c>
      <c r="G26">
        <f t="shared" ca="1" si="6"/>
        <v>51.417459626133706</v>
      </c>
      <c r="H26">
        <f t="shared" ca="1" si="7"/>
        <v>53.782662768935857</v>
      </c>
    </row>
    <row r="27" spans="1:8" x14ac:dyDescent="0.3">
      <c r="A27" s="1">
        <v>45309</v>
      </c>
      <c r="B27" s="2">
        <f t="shared" si="0"/>
        <v>17</v>
      </c>
      <c r="C27">
        <f t="shared" ca="1" si="1"/>
        <v>0.65</v>
      </c>
      <c r="D27">
        <f t="shared" ca="1" si="2"/>
        <v>13</v>
      </c>
      <c r="E27">
        <f t="shared" ca="1" si="3"/>
        <v>-7</v>
      </c>
      <c r="F27">
        <f t="shared" ca="1" si="4"/>
        <v>-3.7647863938255104</v>
      </c>
      <c r="G27">
        <f t="shared" ca="1" si="6"/>
        <v>53.782662768935857</v>
      </c>
      <c r="H27">
        <f t="shared" ca="1" si="7"/>
        <v>50.017876375110347</v>
      </c>
    </row>
    <row r="28" spans="1:8" x14ac:dyDescent="0.3">
      <c r="A28" s="1">
        <v>45310</v>
      </c>
      <c r="B28" s="2">
        <f t="shared" si="0"/>
        <v>18</v>
      </c>
      <c r="C28">
        <f t="shared" ca="1" si="1"/>
        <v>0.88</v>
      </c>
      <c r="D28">
        <f t="shared" ca="1" si="2"/>
        <v>17.600000000000001</v>
      </c>
      <c r="E28">
        <f t="shared" ca="1" si="3"/>
        <v>-2.3999999999999986</v>
      </c>
      <c r="F28">
        <f t="shared" ca="1" si="4"/>
        <v>-1.2004290330026477</v>
      </c>
      <c r="G28">
        <f t="shared" ca="1" si="6"/>
        <v>50.017876375110347</v>
      </c>
      <c r="H28">
        <f t="shared" ca="1" si="7"/>
        <v>48.817447342107698</v>
      </c>
    </row>
    <row r="29" spans="1:8" x14ac:dyDescent="0.3">
      <c r="A29" s="1">
        <v>45311</v>
      </c>
      <c r="B29" s="2">
        <f t="shared" si="0"/>
        <v>19</v>
      </c>
      <c r="C29">
        <f t="shared" ca="1" si="1"/>
        <v>0.77</v>
      </c>
      <c r="D29">
        <f t="shared" ca="1" si="2"/>
        <v>15.4</v>
      </c>
      <c r="E29">
        <f t="shared" ca="1" si="3"/>
        <v>-4.5999999999999996</v>
      </c>
      <c r="F29">
        <f t="shared" ca="1" si="4"/>
        <v>-2.2456025777369542</v>
      </c>
      <c r="G29">
        <f t="shared" ca="1" si="6"/>
        <v>48.817447342107698</v>
      </c>
      <c r="H29">
        <f t="shared" ca="1" si="7"/>
        <v>46.571844764370745</v>
      </c>
    </row>
    <row r="30" spans="1:8" x14ac:dyDescent="0.3">
      <c r="A30" s="1">
        <v>45312</v>
      </c>
      <c r="B30" s="2">
        <f t="shared" si="0"/>
        <v>20</v>
      </c>
      <c r="C30">
        <f t="shared" ca="1" si="1"/>
        <v>0.23</v>
      </c>
      <c r="D30">
        <f t="shared" ca="1" si="2"/>
        <v>4.6000000000000005</v>
      </c>
      <c r="E30">
        <f t="shared" ca="1" si="3"/>
        <v>4.6000000000000005</v>
      </c>
      <c r="F30">
        <f t="shared" ca="1" si="4"/>
        <v>2.1423048591610545</v>
      </c>
      <c r="G30">
        <f t="shared" ca="1" si="6"/>
        <v>46.571844764370745</v>
      </c>
      <c r="H30">
        <f t="shared" ca="1" si="7"/>
        <v>48.714149623531796</v>
      </c>
    </row>
    <row r="31" spans="1:8" x14ac:dyDescent="0.3">
      <c r="A31" s="1">
        <v>45313</v>
      </c>
      <c r="B31" s="2">
        <f t="shared" si="0"/>
        <v>21</v>
      </c>
      <c r="C31">
        <f t="shared" ca="1" si="1"/>
        <v>0.14000000000000001</v>
      </c>
      <c r="D31">
        <f t="shared" ca="1" si="2"/>
        <v>2.8000000000000003</v>
      </c>
      <c r="E31">
        <f t="shared" ca="1" si="3"/>
        <v>2.8000000000000003</v>
      </c>
      <c r="F31">
        <f t="shared" ca="1" si="4"/>
        <v>1.3639961894588906</v>
      </c>
      <c r="G31">
        <f t="shared" ca="1" si="6"/>
        <v>48.714149623531796</v>
      </c>
      <c r="H31">
        <f t="shared" ca="1" si="7"/>
        <v>50.078145812990684</v>
      </c>
    </row>
    <row r="32" spans="1:8" x14ac:dyDescent="0.3">
      <c r="A32" s="1">
        <v>45314</v>
      </c>
      <c r="B32" s="2">
        <f t="shared" si="0"/>
        <v>22</v>
      </c>
      <c r="C32">
        <f t="shared" ca="1" si="1"/>
        <v>0.28999999999999998</v>
      </c>
      <c r="D32">
        <f t="shared" ca="1" si="2"/>
        <v>5.8</v>
      </c>
      <c r="E32">
        <f t="shared" ca="1" si="3"/>
        <v>5.8</v>
      </c>
      <c r="F32">
        <f t="shared" ca="1" si="4"/>
        <v>2.9045324571534596</v>
      </c>
      <c r="G32">
        <f t="shared" ca="1" si="6"/>
        <v>50.078145812990684</v>
      </c>
      <c r="H32">
        <f t="shared" ca="1" si="7"/>
        <v>52.982678270144142</v>
      </c>
    </row>
    <row r="33" spans="1:8" x14ac:dyDescent="0.3">
      <c r="A33" s="1">
        <v>45315</v>
      </c>
      <c r="B33" s="2">
        <f t="shared" si="0"/>
        <v>23</v>
      </c>
      <c r="C33">
        <f t="shared" ca="1" si="1"/>
        <v>0</v>
      </c>
      <c r="D33">
        <f t="shared" ca="1" si="2"/>
        <v>0</v>
      </c>
      <c r="E33">
        <f t="shared" ca="1" si="3"/>
        <v>0</v>
      </c>
      <c r="F33">
        <f t="shared" ca="1" si="4"/>
        <v>0</v>
      </c>
      <c r="G33">
        <f t="shared" ca="1" si="6"/>
        <v>52.982678270144142</v>
      </c>
      <c r="H33">
        <f t="shared" ca="1" si="7"/>
        <v>52.982678270144142</v>
      </c>
    </row>
    <row r="34" spans="1:8" x14ac:dyDescent="0.3">
      <c r="A34" s="1">
        <v>45316</v>
      </c>
      <c r="B34" s="2">
        <f t="shared" si="0"/>
        <v>24</v>
      </c>
      <c r="C34">
        <f t="shared" ca="1" si="1"/>
        <v>0.14000000000000001</v>
      </c>
      <c r="D34">
        <f t="shared" ca="1" si="2"/>
        <v>2.8000000000000003</v>
      </c>
      <c r="E34">
        <f t="shared" ca="1" si="3"/>
        <v>2.8000000000000003</v>
      </c>
      <c r="F34">
        <f t="shared" ca="1" si="4"/>
        <v>1.4835149915640362</v>
      </c>
      <c r="G34">
        <f t="shared" ca="1" si="6"/>
        <v>52.982678270144142</v>
      </c>
      <c r="H34">
        <f t="shared" ca="1" si="7"/>
        <v>54.466193261708177</v>
      </c>
    </row>
    <row r="35" spans="1:8" x14ac:dyDescent="0.3">
      <c r="A35" s="1">
        <v>45317</v>
      </c>
      <c r="B35" s="2">
        <f t="shared" si="0"/>
        <v>25</v>
      </c>
      <c r="C35">
        <f t="shared" ca="1" si="1"/>
        <v>0.06</v>
      </c>
      <c r="D35">
        <f t="shared" ca="1" si="2"/>
        <v>1.2</v>
      </c>
      <c r="E35">
        <f t="shared" ca="1" si="3"/>
        <v>1.2</v>
      </c>
      <c r="F35">
        <f t="shared" ca="1" si="4"/>
        <v>0.65359431914049815</v>
      </c>
      <c r="G35">
        <f t="shared" ca="1" si="6"/>
        <v>54.466193261708177</v>
      </c>
      <c r="H35">
        <f t="shared" ca="1" si="7"/>
        <v>55.119787580848673</v>
      </c>
    </row>
    <row r="36" spans="1:8" x14ac:dyDescent="0.3">
      <c r="A36" s="1">
        <v>45318</v>
      </c>
      <c r="B36" s="2">
        <f t="shared" si="0"/>
        <v>26</v>
      </c>
      <c r="C36">
        <f t="shared" ca="1" si="1"/>
        <v>0.62</v>
      </c>
      <c r="D36">
        <f t="shared" ca="1" si="2"/>
        <v>12.4</v>
      </c>
      <c r="E36">
        <f t="shared" ca="1" si="3"/>
        <v>-7.6</v>
      </c>
      <c r="F36">
        <f t="shared" ca="1" si="4"/>
        <v>-4.1891038561444986</v>
      </c>
      <c r="G36">
        <f t="shared" ca="1" si="6"/>
        <v>55.119787580848673</v>
      </c>
      <c r="H36">
        <f t="shared" ca="1" si="7"/>
        <v>50.930683724704174</v>
      </c>
    </row>
    <row r="37" spans="1:8" x14ac:dyDescent="0.3">
      <c r="A37" s="1">
        <v>45319</v>
      </c>
      <c r="B37" s="2">
        <f t="shared" si="0"/>
        <v>27</v>
      </c>
      <c r="C37">
        <f t="shared" ca="1" si="1"/>
        <v>0.76</v>
      </c>
      <c r="D37">
        <f t="shared" ca="1" si="2"/>
        <v>15.2</v>
      </c>
      <c r="E37">
        <f t="shared" ca="1" si="3"/>
        <v>-4.8000000000000007</v>
      </c>
      <c r="F37">
        <f t="shared" ca="1" si="4"/>
        <v>-2.4446728187858007</v>
      </c>
      <c r="G37">
        <f t="shared" ca="1" si="6"/>
        <v>50.930683724704174</v>
      </c>
      <c r="H37">
        <f t="shared" ca="1" si="7"/>
        <v>48.486010905918377</v>
      </c>
    </row>
    <row r="38" spans="1:8" x14ac:dyDescent="0.3">
      <c r="A38" s="1">
        <v>45320</v>
      </c>
      <c r="B38" s="2">
        <f t="shared" si="0"/>
        <v>28</v>
      </c>
      <c r="C38">
        <f t="shared" ca="1" si="1"/>
        <v>0.09</v>
      </c>
      <c r="D38">
        <f t="shared" ca="1" si="2"/>
        <v>1.7999999999999998</v>
      </c>
      <c r="E38">
        <f t="shared" ca="1" si="3"/>
        <v>1.7999999999999998</v>
      </c>
      <c r="F38">
        <f t="shared" ca="1" si="4"/>
        <v>0.87274819630653067</v>
      </c>
      <c r="G38">
        <f t="shared" ca="1" si="6"/>
        <v>48.486010905918377</v>
      </c>
      <c r="H38">
        <f t="shared" ca="1" si="7"/>
        <v>49.358759102224909</v>
      </c>
    </row>
    <row r="39" spans="1:8" x14ac:dyDescent="0.3">
      <c r="A39" s="1">
        <v>45321</v>
      </c>
      <c r="B39" s="2">
        <f t="shared" si="0"/>
        <v>29</v>
      </c>
      <c r="C39">
        <f t="shared" ca="1" si="1"/>
        <v>0.38</v>
      </c>
      <c r="D39">
        <f t="shared" ca="1" si="2"/>
        <v>7.6</v>
      </c>
      <c r="E39">
        <f t="shared" ca="1" si="3"/>
        <v>7.6</v>
      </c>
      <c r="F39">
        <f t="shared" ca="1" si="4"/>
        <v>3.7512656917690927</v>
      </c>
      <c r="G39">
        <f t="shared" ca="1" si="6"/>
        <v>49.358759102224909</v>
      </c>
      <c r="H39">
        <f t="shared" ca="1" si="7"/>
        <v>53.110024793994</v>
      </c>
    </row>
    <row r="40" spans="1:8" x14ac:dyDescent="0.3">
      <c r="A40" s="1">
        <v>45322</v>
      </c>
      <c r="B40" s="2">
        <f t="shared" si="0"/>
        <v>30</v>
      </c>
      <c r="C40">
        <f t="shared" ca="1" si="1"/>
        <v>0.76</v>
      </c>
      <c r="D40">
        <f t="shared" ca="1" si="2"/>
        <v>15.2</v>
      </c>
      <c r="E40">
        <f t="shared" ca="1" si="3"/>
        <v>-4.8000000000000007</v>
      </c>
      <c r="F40">
        <f t="shared" ca="1" si="4"/>
        <v>-2.5492811901117123</v>
      </c>
      <c r="G40">
        <f t="shared" ca="1" si="6"/>
        <v>53.110024793994</v>
      </c>
      <c r="H40">
        <f t="shared" ca="1" si="7"/>
        <v>50.560743603882287</v>
      </c>
    </row>
    <row r="41" spans="1:8" x14ac:dyDescent="0.3">
      <c r="A41" s="1">
        <v>45323</v>
      </c>
      <c r="B41" s="2">
        <f t="shared" si="0"/>
        <v>31</v>
      </c>
      <c r="C41">
        <f t="shared" ca="1" si="1"/>
        <v>0.13</v>
      </c>
      <c r="D41">
        <f t="shared" ca="1" si="2"/>
        <v>2.6</v>
      </c>
      <c r="E41">
        <f t="shared" ca="1" si="3"/>
        <v>2.6</v>
      </c>
      <c r="F41">
        <f t="shared" ca="1" si="4"/>
        <v>1.3145793337009395</v>
      </c>
      <c r="G41">
        <f t="shared" ca="1" si="6"/>
        <v>50.560743603882287</v>
      </c>
      <c r="H41">
        <f t="shared" ca="1" si="7"/>
        <v>51.875322937583228</v>
      </c>
    </row>
    <row r="42" spans="1:8" x14ac:dyDescent="0.3">
      <c r="A42" s="1">
        <v>45324</v>
      </c>
      <c r="B42" s="2">
        <f t="shared" si="0"/>
        <v>32</v>
      </c>
      <c r="C42">
        <f t="shared" ca="1" si="1"/>
        <v>0.62</v>
      </c>
      <c r="D42">
        <f t="shared" ca="1" si="2"/>
        <v>12.4</v>
      </c>
      <c r="E42">
        <f t="shared" ca="1" si="3"/>
        <v>-7.6</v>
      </c>
      <c r="F42">
        <f t="shared" ca="1" si="4"/>
        <v>-3.9425245432563254</v>
      </c>
      <c r="G42">
        <f t="shared" ca="1" si="6"/>
        <v>51.875322937583228</v>
      </c>
      <c r="H42">
        <f t="shared" ref="H42:H105" ca="1" si="8">G42+F42</f>
        <v>47.932798394326902</v>
      </c>
    </row>
    <row r="43" spans="1:8" x14ac:dyDescent="0.3">
      <c r="A43" s="1">
        <v>45325</v>
      </c>
      <c r="B43" s="2">
        <f t="shared" si="0"/>
        <v>33</v>
      </c>
      <c r="C43">
        <f t="shared" ca="1" si="1"/>
        <v>0.28999999999999998</v>
      </c>
      <c r="D43">
        <f t="shared" ca="1" si="2"/>
        <v>5.8</v>
      </c>
      <c r="E43">
        <f t="shared" ca="1" si="3"/>
        <v>5.8</v>
      </c>
      <c r="F43">
        <f t="shared" ca="1" si="4"/>
        <v>2.78010230687096</v>
      </c>
      <c r="G43">
        <f t="shared" ca="1" si="6"/>
        <v>47.932798394326902</v>
      </c>
      <c r="H43">
        <f t="shared" ca="1" si="8"/>
        <v>50.71290070119786</v>
      </c>
    </row>
    <row r="44" spans="1:8" x14ac:dyDescent="0.3">
      <c r="A44" s="1">
        <v>45326</v>
      </c>
      <c r="B44" s="2">
        <f t="shared" si="0"/>
        <v>34</v>
      </c>
      <c r="C44">
        <f t="shared" ca="1" si="1"/>
        <v>0.12</v>
      </c>
      <c r="D44">
        <f t="shared" ca="1" si="2"/>
        <v>2.4</v>
      </c>
      <c r="E44">
        <f t="shared" ca="1" si="3"/>
        <v>2.4</v>
      </c>
      <c r="F44">
        <f t="shared" ca="1" si="4"/>
        <v>1.2171096168287487</v>
      </c>
      <c r="G44">
        <f t="shared" ca="1" si="6"/>
        <v>50.71290070119786</v>
      </c>
      <c r="H44">
        <f t="shared" ca="1" si="8"/>
        <v>51.930010318026611</v>
      </c>
    </row>
    <row r="45" spans="1:8" x14ac:dyDescent="0.3">
      <c r="A45" s="1">
        <v>45327</v>
      </c>
      <c r="B45" s="2">
        <f t="shared" si="0"/>
        <v>35</v>
      </c>
      <c r="C45">
        <f t="shared" ca="1" si="1"/>
        <v>0.95</v>
      </c>
      <c r="D45">
        <f t="shared" ca="1" si="2"/>
        <v>19</v>
      </c>
      <c r="E45">
        <f t="shared" ca="1" si="3"/>
        <v>-1</v>
      </c>
      <c r="F45">
        <f t="shared" ca="1" si="4"/>
        <v>-0.51930010318026609</v>
      </c>
      <c r="G45">
        <f t="shared" ca="1" si="6"/>
        <v>51.930010318026611</v>
      </c>
      <c r="H45">
        <f t="shared" ca="1" si="8"/>
        <v>51.410710214846347</v>
      </c>
    </row>
    <row r="46" spans="1:8" x14ac:dyDescent="0.3">
      <c r="A46" s="1">
        <v>45328</v>
      </c>
      <c r="B46" s="2">
        <f t="shared" si="0"/>
        <v>36</v>
      </c>
      <c r="C46">
        <f t="shared" ca="1" si="1"/>
        <v>0.76</v>
      </c>
      <c r="D46">
        <f t="shared" ca="1" si="2"/>
        <v>15.2</v>
      </c>
      <c r="E46">
        <f t="shared" ca="1" si="3"/>
        <v>-4.8000000000000007</v>
      </c>
      <c r="F46">
        <f t="shared" ca="1" si="4"/>
        <v>-2.4677140903126249</v>
      </c>
      <c r="G46">
        <f t="shared" ca="1" si="6"/>
        <v>51.410710214846347</v>
      </c>
      <c r="H46">
        <f t="shared" ca="1" si="8"/>
        <v>48.942996124533721</v>
      </c>
    </row>
    <row r="47" spans="1:8" x14ac:dyDescent="0.3">
      <c r="A47" s="1">
        <v>45329</v>
      </c>
      <c r="B47" s="2">
        <f t="shared" si="0"/>
        <v>37</v>
      </c>
      <c r="C47">
        <f t="shared" ca="1" si="1"/>
        <v>0.14000000000000001</v>
      </c>
      <c r="D47">
        <f t="shared" ca="1" si="2"/>
        <v>2.8000000000000003</v>
      </c>
      <c r="E47">
        <f t="shared" ca="1" si="3"/>
        <v>2.8000000000000003</v>
      </c>
      <c r="F47">
        <f t="shared" ca="1" si="4"/>
        <v>1.3704038914869443</v>
      </c>
      <c r="G47">
        <f t="shared" ca="1" si="6"/>
        <v>48.942996124533721</v>
      </c>
      <c r="H47">
        <f t="shared" ca="1" si="8"/>
        <v>50.313400016020665</v>
      </c>
    </row>
    <row r="48" spans="1:8" x14ac:dyDescent="0.3">
      <c r="A48" s="1">
        <v>45330</v>
      </c>
      <c r="B48" s="2">
        <f t="shared" si="0"/>
        <v>38</v>
      </c>
      <c r="C48">
        <f t="shared" ca="1" si="1"/>
        <v>0.93</v>
      </c>
      <c r="D48">
        <f t="shared" ca="1" si="2"/>
        <v>18.600000000000001</v>
      </c>
      <c r="E48">
        <f t="shared" ca="1" si="3"/>
        <v>-1.3999999999999986</v>
      </c>
      <c r="F48">
        <f t="shared" ca="1" si="4"/>
        <v>-0.70438760022428859</v>
      </c>
      <c r="G48">
        <f t="shared" ca="1" si="6"/>
        <v>50.313400016020665</v>
      </c>
      <c r="H48">
        <f t="shared" ca="1" si="8"/>
        <v>49.609012415796379</v>
      </c>
    </row>
    <row r="49" spans="1:8" x14ac:dyDescent="0.3">
      <c r="A49" s="1">
        <v>45331</v>
      </c>
      <c r="B49" s="2">
        <f t="shared" si="0"/>
        <v>39</v>
      </c>
      <c r="C49">
        <f t="shared" ca="1" si="1"/>
        <v>0.44</v>
      </c>
      <c r="D49">
        <f t="shared" ca="1" si="2"/>
        <v>8.8000000000000007</v>
      </c>
      <c r="E49">
        <f t="shared" ca="1" si="3"/>
        <v>8.8000000000000007</v>
      </c>
      <c r="F49">
        <f t="shared" ca="1" si="4"/>
        <v>4.3655930925900819</v>
      </c>
      <c r="G49">
        <f t="shared" ca="1" si="6"/>
        <v>49.609012415796379</v>
      </c>
      <c r="H49">
        <f t="shared" ca="1" si="8"/>
        <v>53.97460550838646</v>
      </c>
    </row>
    <row r="50" spans="1:8" x14ac:dyDescent="0.3">
      <c r="A50" s="1">
        <v>45332</v>
      </c>
      <c r="B50" s="2">
        <f t="shared" si="0"/>
        <v>40</v>
      </c>
      <c r="C50">
        <f t="shared" ca="1" si="1"/>
        <v>0.32</v>
      </c>
      <c r="D50">
        <f t="shared" ca="1" si="2"/>
        <v>6.4</v>
      </c>
      <c r="E50">
        <f t="shared" ca="1" si="3"/>
        <v>6.4</v>
      </c>
      <c r="F50">
        <f t="shared" ca="1" si="4"/>
        <v>3.4543747525367334</v>
      </c>
      <c r="G50">
        <f t="shared" ca="1" si="6"/>
        <v>53.97460550838646</v>
      </c>
      <c r="H50">
        <f t="shared" ca="1" si="8"/>
        <v>57.428980260923197</v>
      </c>
    </row>
    <row r="51" spans="1:8" x14ac:dyDescent="0.3">
      <c r="A51" s="1">
        <v>45333</v>
      </c>
      <c r="B51" s="2">
        <f t="shared" si="0"/>
        <v>41</v>
      </c>
      <c r="C51">
        <f t="shared" ca="1" si="1"/>
        <v>0.27</v>
      </c>
      <c r="D51">
        <f t="shared" ca="1" si="2"/>
        <v>5.4</v>
      </c>
      <c r="E51">
        <f t="shared" ca="1" si="3"/>
        <v>5.4</v>
      </c>
      <c r="F51">
        <f t="shared" ca="1" si="4"/>
        <v>3.1011649340898528</v>
      </c>
      <c r="G51">
        <f t="shared" ca="1" si="6"/>
        <v>57.428980260923197</v>
      </c>
      <c r="H51">
        <f t="shared" ca="1" si="8"/>
        <v>60.530145195013048</v>
      </c>
    </row>
    <row r="52" spans="1:8" x14ac:dyDescent="0.3">
      <c r="A52" s="1">
        <v>45334</v>
      </c>
      <c r="B52" s="2">
        <f t="shared" si="0"/>
        <v>42</v>
      </c>
      <c r="C52">
        <f t="shared" ca="1" si="1"/>
        <v>0.56999999999999995</v>
      </c>
      <c r="D52">
        <f t="shared" ca="1" si="2"/>
        <v>11.399999999999999</v>
      </c>
      <c r="E52">
        <f t="shared" ca="1" si="3"/>
        <v>-8.6000000000000014</v>
      </c>
      <c r="F52">
        <f t="shared" ca="1" si="4"/>
        <v>-5.2055924867711232</v>
      </c>
      <c r="G52">
        <f t="shared" ca="1" si="6"/>
        <v>60.530145195013048</v>
      </c>
      <c r="H52">
        <f t="shared" ca="1" si="8"/>
        <v>55.324552708241924</v>
      </c>
    </row>
    <row r="53" spans="1:8" x14ac:dyDescent="0.3">
      <c r="A53" s="1">
        <v>45335</v>
      </c>
      <c r="B53" s="2">
        <f t="shared" si="0"/>
        <v>43</v>
      </c>
      <c r="C53">
        <f t="shared" ca="1" si="1"/>
        <v>0.67</v>
      </c>
      <c r="D53">
        <f t="shared" ca="1" si="2"/>
        <v>13.4</v>
      </c>
      <c r="E53">
        <f t="shared" ca="1" si="3"/>
        <v>-6.6</v>
      </c>
      <c r="F53">
        <f t="shared" ca="1" si="4"/>
        <v>-3.651420478743967</v>
      </c>
      <c r="G53">
        <f t="shared" ca="1" si="6"/>
        <v>55.324552708241924</v>
      </c>
      <c r="H53">
        <f t="shared" ca="1" si="8"/>
        <v>51.673132229497959</v>
      </c>
    </row>
    <row r="54" spans="1:8" x14ac:dyDescent="0.3">
      <c r="A54" s="1">
        <v>45336</v>
      </c>
      <c r="B54" s="2">
        <f t="shared" si="0"/>
        <v>44</v>
      </c>
      <c r="C54">
        <f t="shared" ca="1" si="1"/>
        <v>0.16</v>
      </c>
      <c r="D54">
        <f t="shared" ca="1" si="2"/>
        <v>3.2</v>
      </c>
      <c r="E54">
        <f t="shared" ca="1" si="3"/>
        <v>3.2</v>
      </c>
      <c r="F54">
        <f t="shared" ca="1" si="4"/>
        <v>1.6535402313439347</v>
      </c>
      <c r="G54">
        <f t="shared" ca="1" si="6"/>
        <v>51.673132229497959</v>
      </c>
      <c r="H54">
        <f t="shared" ca="1" si="8"/>
        <v>53.326672460841891</v>
      </c>
    </row>
    <row r="55" spans="1:8" x14ac:dyDescent="0.3">
      <c r="A55" s="1">
        <v>45337</v>
      </c>
      <c r="B55" s="2">
        <f t="shared" si="0"/>
        <v>45</v>
      </c>
      <c r="C55">
        <f t="shared" ca="1" si="1"/>
        <v>0.1</v>
      </c>
      <c r="D55">
        <f t="shared" ca="1" si="2"/>
        <v>2</v>
      </c>
      <c r="E55">
        <f t="shared" ca="1" si="3"/>
        <v>2</v>
      </c>
      <c r="F55">
        <f t="shared" ca="1" si="4"/>
        <v>1.0665334492168379</v>
      </c>
      <c r="G55">
        <f t="shared" ca="1" si="6"/>
        <v>53.326672460841891</v>
      </c>
      <c r="H55">
        <f t="shared" ca="1" si="8"/>
        <v>54.393205910058732</v>
      </c>
    </row>
    <row r="56" spans="1:8" x14ac:dyDescent="0.3">
      <c r="A56" s="1">
        <v>45338</v>
      </c>
      <c r="B56" s="2">
        <f t="shared" si="0"/>
        <v>46</v>
      </c>
      <c r="C56">
        <f t="shared" ca="1" si="1"/>
        <v>0.74</v>
      </c>
      <c r="D56">
        <f t="shared" ca="1" si="2"/>
        <v>14.8</v>
      </c>
      <c r="E56">
        <f t="shared" ca="1" si="3"/>
        <v>-5.1999999999999993</v>
      </c>
      <c r="F56">
        <f t="shared" ca="1" si="4"/>
        <v>-2.8284467073230535</v>
      </c>
      <c r="G56">
        <f t="shared" ca="1" si="6"/>
        <v>54.393205910058732</v>
      </c>
      <c r="H56">
        <f t="shared" ca="1" si="8"/>
        <v>51.564759202735679</v>
      </c>
    </row>
    <row r="57" spans="1:8" x14ac:dyDescent="0.3">
      <c r="A57" s="1">
        <v>45339</v>
      </c>
      <c r="B57" s="2">
        <f t="shared" si="0"/>
        <v>47</v>
      </c>
      <c r="C57">
        <f t="shared" ca="1" si="1"/>
        <v>0.98</v>
      </c>
      <c r="D57">
        <f t="shared" ca="1" si="2"/>
        <v>19.600000000000001</v>
      </c>
      <c r="E57">
        <f t="shared" ca="1" si="3"/>
        <v>-0.39999999999999858</v>
      </c>
      <c r="F57">
        <f t="shared" ca="1" si="4"/>
        <v>-0.20625903681094201</v>
      </c>
      <c r="G57">
        <f t="shared" ca="1" si="6"/>
        <v>51.564759202735679</v>
      </c>
      <c r="H57">
        <f t="shared" ca="1" si="8"/>
        <v>51.358500165924738</v>
      </c>
    </row>
    <row r="58" spans="1:8" x14ac:dyDescent="0.3">
      <c r="A58" s="1">
        <v>45340</v>
      </c>
      <c r="B58" s="2">
        <f t="shared" si="0"/>
        <v>48</v>
      </c>
      <c r="C58">
        <f t="shared" ca="1" si="1"/>
        <v>0.41</v>
      </c>
      <c r="D58">
        <f t="shared" ca="1" si="2"/>
        <v>8.1999999999999993</v>
      </c>
      <c r="E58">
        <f t="shared" ca="1" si="3"/>
        <v>8.1999999999999993</v>
      </c>
      <c r="F58">
        <f t="shared" ca="1" si="4"/>
        <v>4.2113970136058283</v>
      </c>
      <c r="G58">
        <f t="shared" ca="1" si="6"/>
        <v>51.358500165924738</v>
      </c>
      <c r="H58">
        <f t="shared" ca="1" si="8"/>
        <v>55.569897179530564</v>
      </c>
    </row>
    <row r="59" spans="1:8" x14ac:dyDescent="0.3">
      <c r="A59" s="1">
        <v>45341</v>
      </c>
      <c r="B59" s="2">
        <f t="shared" si="0"/>
        <v>49</v>
      </c>
      <c r="C59">
        <f t="shared" ca="1" si="1"/>
        <v>0.6</v>
      </c>
      <c r="D59">
        <f t="shared" ca="1" si="2"/>
        <v>12</v>
      </c>
      <c r="E59">
        <f t="shared" ca="1" si="3"/>
        <v>-8</v>
      </c>
      <c r="F59">
        <f t="shared" ca="1" si="4"/>
        <v>-4.4455917743624456</v>
      </c>
      <c r="G59">
        <f t="shared" ca="1" si="6"/>
        <v>55.569897179530564</v>
      </c>
      <c r="H59">
        <f t="shared" ca="1" si="8"/>
        <v>51.124305405168116</v>
      </c>
    </row>
    <row r="60" spans="1:8" x14ac:dyDescent="0.3">
      <c r="A60" s="1">
        <v>45342</v>
      </c>
      <c r="B60" s="2">
        <f t="shared" si="0"/>
        <v>50</v>
      </c>
      <c r="C60">
        <f t="shared" ca="1" si="1"/>
        <v>0.49</v>
      </c>
      <c r="D60">
        <f t="shared" ca="1" si="2"/>
        <v>9.8000000000000007</v>
      </c>
      <c r="E60">
        <f t="shared" ca="1" si="3"/>
        <v>9.8000000000000007</v>
      </c>
      <c r="F60">
        <f t="shared" ca="1" si="4"/>
        <v>5.0101819297064756</v>
      </c>
      <c r="G60">
        <f t="shared" ca="1" si="6"/>
        <v>51.124305405168116</v>
      </c>
      <c r="H60">
        <f t="shared" ca="1" si="8"/>
        <v>56.134487334874592</v>
      </c>
    </row>
    <row r="61" spans="1:8" x14ac:dyDescent="0.3">
      <c r="A61" s="1">
        <v>45343</v>
      </c>
      <c r="B61" s="2">
        <f t="shared" si="0"/>
        <v>51</v>
      </c>
      <c r="C61">
        <f t="shared" ca="1" si="1"/>
        <v>0.83</v>
      </c>
      <c r="D61">
        <f t="shared" ca="1" si="2"/>
        <v>16.599999999999998</v>
      </c>
      <c r="E61">
        <f t="shared" ca="1" si="3"/>
        <v>-3.4000000000000021</v>
      </c>
      <c r="F61">
        <f t="shared" ca="1" si="4"/>
        <v>-1.9085725693857374</v>
      </c>
      <c r="G61">
        <f t="shared" ca="1" si="6"/>
        <v>56.134487334874592</v>
      </c>
      <c r="H61">
        <f t="shared" ca="1" si="8"/>
        <v>54.225914765488852</v>
      </c>
    </row>
    <row r="62" spans="1:8" x14ac:dyDescent="0.3">
      <c r="A62" s="1">
        <v>45344</v>
      </c>
      <c r="B62" s="2">
        <f t="shared" si="0"/>
        <v>52</v>
      </c>
      <c r="C62">
        <f t="shared" ca="1" si="1"/>
        <v>0.8</v>
      </c>
      <c r="D62">
        <f t="shared" ca="1" si="2"/>
        <v>16</v>
      </c>
      <c r="E62">
        <f t="shared" ca="1" si="3"/>
        <v>-4</v>
      </c>
      <c r="F62">
        <f t="shared" ca="1" si="4"/>
        <v>-2.1690365906195543</v>
      </c>
      <c r="G62">
        <f t="shared" ca="1" si="6"/>
        <v>54.225914765488852</v>
      </c>
      <c r="H62">
        <f t="shared" ca="1" si="8"/>
        <v>52.056878174869297</v>
      </c>
    </row>
    <row r="63" spans="1:8" x14ac:dyDescent="0.3">
      <c r="A63" s="1">
        <v>45345</v>
      </c>
      <c r="B63" s="2">
        <f t="shared" si="0"/>
        <v>53</v>
      </c>
      <c r="C63">
        <f t="shared" ca="1" si="1"/>
        <v>0.76</v>
      </c>
      <c r="D63">
        <f t="shared" ca="1" si="2"/>
        <v>15.2</v>
      </c>
      <c r="E63">
        <f t="shared" ca="1" si="3"/>
        <v>-4.8000000000000007</v>
      </c>
      <c r="F63">
        <f t="shared" ca="1" si="4"/>
        <v>-2.4987301523937266</v>
      </c>
      <c r="G63">
        <f t="shared" ca="1" si="6"/>
        <v>52.056878174869297</v>
      </c>
      <c r="H63">
        <f t="shared" ca="1" si="8"/>
        <v>49.558148022475571</v>
      </c>
    </row>
    <row r="64" spans="1:8" x14ac:dyDescent="0.3">
      <c r="A64" s="1">
        <v>45346</v>
      </c>
      <c r="B64" s="2">
        <f t="shared" si="0"/>
        <v>54</v>
      </c>
      <c r="C64">
        <f t="shared" ca="1" si="1"/>
        <v>0.7</v>
      </c>
      <c r="D64">
        <f t="shared" ca="1" si="2"/>
        <v>14</v>
      </c>
      <c r="E64">
        <f t="shared" ca="1" si="3"/>
        <v>-6</v>
      </c>
      <c r="F64">
        <f t="shared" ca="1" si="4"/>
        <v>-2.9734888813485343</v>
      </c>
      <c r="G64">
        <f t="shared" ca="1" si="6"/>
        <v>49.558148022475571</v>
      </c>
      <c r="H64">
        <f t="shared" ca="1" si="8"/>
        <v>46.584659141127034</v>
      </c>
    </row>
    <row r="65" spans="1:8" x14ac:dyDescent="0.3">
      <c r="A65" s="1">
        <v>45347</v>
      </c>
      <c r="B65" s="2">
        <f t="shared" si="0"/>
        <v>55</v>
      </c>
      <c r="C65">
        <f t="shared" ca="1" si="1"/>
        <v>0.35</v>
      </c>
      <c r="D65">
        <f t="shared" ca="1" si="2"/>
        <v>7</v>
      </c>
      <c r="E65">
        <f t="shared" ca="1" si="3"/>
        <v>7</v>
      </c>
      <c r="F65">
        <f t="shared" ca="1" si="4"/>
        <v>3.2609261398788925</v>
      </c>
      <c r="G65">
        <f t="shared" ca="1" si="6"/>
        <v>46.584659141127034</v>
      </c>
      <c r="H65">
        <f t="shared" ca="1" si="8"/>
        <v>49.845585281005924</v>
      </c>
    </row>
    <row r="66" spans="1:8" x14ac:dyDescent="0.3">
      <c r="A66" s="1">
        <v>45348</v>
      </c>
      <c r="B66" s="2">
        <f t="shared" si="0"/>
        <v>56</v>
      </c>
      <c r="C66">
        <f t="shared" ca="1" si="1"/>
        <v>0.11</v>
      </c>
      <c r="D66">
        <f t="shared" ca="1" si="2"/>
        <v>2.2000000000000002</v>
      </c>
      <c r="E66">
        <f t="shared" ca="1" si="3"/>
        <v>2.2000000000000002</v>
      </c>
      <c r="F66">
        <f t="shared" ca="1" si="4"/>
        <v>1.0966028761821305</v>
      </c>
      <c r="G66">
        <f t="shared" ca="1" si="6"/>
        <v>49.845585281005924</v>
      </c>
      <c r="H66">
        <f t="shared" ca="1" si="8"/>
        <v>50.942188157188056</v>
      </c>
    </row>
    <row r="67" spans="1:8" x14ac:dyDescent="0.3">
      <c r="A67" s="1">
        <v>45349</v>
      </c>
      <c r="B67" s="2">
        <f t="shared" si="0"/>
        <v>57</v>
      </c>
      <c r="C67">
        <f t="shared" ca="1" si="1"/>
        <v>0.03</v>
      </c>
      <c r="D67">
        <f t="shared" ca="1" si="2"/>
        <v>0.6</v>
      </c>
      <c r="E67">
        <f t="shared" ca="1" si="3"/>
        <v>0.6</v>
      </c>
      <c r="F67">
        <f t="shared" ca="1" si="4"/>
        <v>0.30565312894312835</v>
      </c>
      <c r="G67">
        <f t="shared" ca="1" si="6"/>
        <v>50.942188157188056</v>
      </c>
      <c r="H67">
        <f t="shared" ca="1" si="8"/>
        <v>51.247841286131184</v>
      </c>
    </row>
    <row r="68" spans="1:8" x14ac:dyDescent="0.3">
      <c r="A68" s="1">
        <v>45350</v>
      </c>
      <c r="B68" s="2">
        <f t="shared" si="0"/>
        <v>58</v>
      </c>
      <c r="C68">
        <f t="shared" ca="1" si="1"/>
        <v>0.9</v>
      </c>
      <c r="D68">
        <f t="shared" ca="1" si="2"/>
        <v>18</v>
      </c>
      <c r="E68">
        <f t="shared" ca="1" si="3"/>
        <v>-2</v>
      </c>
      <c r="F68">
        <f t="shared" ca="1" si="4"/>
        <v>-1.0249568257226236</v>
      </c>
      <c r="G68">
        <f t="shared" ca="1" si="6"/>
        <v>51.247841286131184</v>
      </c>
      <c r="H68">
        <f t="shared" ca="1" si="8"/>
        <v>50.222884460408558</v>
      </c>
    </row>
    <row r="69" spans="1:8" x14ac:dyDescent="0.3">
      <c r="A69" s="1">
        <v>45351</v>
      </c>
      <c r="B69" s="2">
        <f t="shared" si="0"/>
        <v>59</v>
      </c>
      <c r="C69">
        <f t="shared" ca="1" si="1"/>
        <v>0.53</v>
      </c>
      <c r="D69">
        <f t="shared" ca="1" si="2"/>
        <v>10.600000000000001</v>
      </c>
      <c r="E69">
        <f t="shared" ca="1" si="3"/>
        <v>-9.3999999999999986</v>
      </c>
      <c r="F69">
        <f t="shared" ca="1" si="4"/>
        <v>-4.7209511392784034</v>
      </c>
      <c r="G69">
        <f t="shared" ca="1" si="6"/>
        <v>50.222884460408558</v>
      </c>
      <c r="H69">
        <f t="shared" ca="1" si="8"/>
        <v>45.501933321130153</v>
      </c>
    </row>
    <row r="70" spans="1:8" x14ac:dyDescent="0.3">
      <c r="A70" s="1">
        <v>45352</v>
      </c>
      <c r="B70" s="2">
        <f t="shared" si="0"/>
        <v>60</v>
      </c>
      <c r="C70">
        <f t="shared" ca="1" si="1"/>
        <v>0.87</v>
      </c>
      <c r="D70">
        <f t="shared" ca="1" si="2"/>
        <v>17.399999999999999</v>
      </c>
      <c r="E70">
        <f t="shared" ca="1" si="3"/>
        <v>-2.6000000000000014</v>
      </c>
      <c r="F70">
        <f t="shared" ca="1" si="4"/>
        <v>-1.1830502663493845</v>
      </c>
      <c r="G70">
        <f t="shared" ca="1" si="6"/>
        <v>45.501933321130153</v>
      </c>
      <c r="H70">
        <f t="shared" ca="1" si="8"/>
        <v>44.31888305478077</v>
      </c>
    </row>
    <row r="71" spans="1:8" x14ac:dyDescent="0.3">
      <c r="A71" s="1">
        <v>45353</v>
      </c>
      <c r="B71" s="2">
        <f t="shared" si="0"/>
        <v>61</v>
      </c>
      <c r="C71">
        <f t="shared" ca="1" si="1"/>
        <v>0.87</v>
      </c>
      <c r="D71">
        <f t="shared" ca="1" si="2"/>
        <v>17.399999999999999</v>
      </c>
      <c r="E71">
        <f t="shared" ca="1" si="3"/>
        <v>-2.6000000000000014</v>
      </c>
      <c r="F71">
        <f t="shared" ca="1" si="4"/>
        <v>-1.1522909594243005</v>
      </c>
      <c r="G71">
        <f t="shared" ca="1" si="6"/>
        <v>44.31888305478077</v>
      </c>
      <c r="H71">
        <f t="shared" ca="1" si="8"/>
        <v>43.166592095356471</v>
      </c>
    </row>
    <row r="72" spans="1:8" x14ac:dyDescent="0.3">
      <c r="A72" s="1">
        <v>45354</v>
      </c>
      <c r="B72" s="2">
        <f t="shared" si="0"/>
        <v>62</v>
      </c>
      <c r="C72">
        <f t="shared" ca="1" si="1"/>
        <v>0.08</v>
      </c>
      <c r="D72">
        <f t="shared" ca="1" si="2"/>
        <v>1.6</v>
      </c>
      <c r="E72">
        <f t="shared" ca="1" si="3"/>
        <v>1.6</v>
      </c>
      <c r="F72">
        <f t="shared" ca="1" si="4"/>
        <v>0.69066547352570351</v>
      </c>
      <c r="G72">
        <f t="shared" ca="1" si="6"/>
        <v>43.166592095356471</v>
      </c>
      <c r="H72">
        <f t="shared" ca="1" si="8"/>
        <v>43.857257568882176</v>
      </c>
    </row>
    <row r="73" spans="1:8" x14ac:dyDescent="0.3">
      <c r="A73" s="1">
        <v>45355</v>
      </c>
      <c r="B73" s="2">
        <f t="shared" si="0"/>
        <v>63</v>
      </c>
      <c r="C73">
        <f t="shared" ca="1" si="1"/>
        <v>0.49</v>
      </c>
      <c r="D73">
        <f t="shared" ca="1" si="2"/>
        <v>9.8000000000000007</v>
      </c>
      <c r="E73">
        <f t="shared" ca="1" si="3"/>
        <v>9.8000000000000007</v>
      </c>
      <c r="F73">
        <f t="shared" ca="1" si="4"/>
        <v>4.2980112417504532</v>
      </c>
      <c r="G73">
        <f t="shared" ca="1" si="6"/>
        <v>43.857257568882176</v>
      </c>
      <c r="H73">
        <f t="shared" ca="1" si="8"/>
        <v>48.155268810632627</v>
      </c>
    </row>
    <row r="74" spans="1:8" x14ac:dyDescent="0.3">
      <c r="A74" s="1">
        <v>45356</v>
      </c>
      <c r="B74" s="2">
        <f t="shared" si="0"/>
        <v>64</v>
      </c>
      <c r="C74">
        <f t="shared" ca="1" si="1"/>
        <v>0.65</v>
      </c>
      <c r="D74">
        <f t="shared" ca="1" si="2"/>
        <v>13</v>
      </c>
      <c r="E74">
        <f t="shared" ca="1" si="3"/>
        <v>-7</v>
      </c>
      <c r="F74">
        <f t="shared" ca="1" si="4"/>
        <v>-3.3708688167442844</v>
      </c>
      <c r="G74">
        <f t="shared" ca="1" si="6"/>
        <v>48.155268810632627</v>
      </c>
      <c r="H74">
        <f t="shared" ca="1" si="8"/>
        <v>44.784399993888343</v>
      </c>
    </row>
    <row r="75" spans="1:8" x14ac:dyDescent="0.3">
      <c r="A75" s="1">
        <v>45357</v>
      </c>
      <c r="B75" s="2">
        <f t="shared" ref="B75:B138" si="9">A75-$A$10</f>
        <v>65</v>
      </c>
      <c r="C75">
        <f t="shared" ref="C75:C138" ca="1" si="10">ROUND(RAND(),2)</f>
        <v>0.86</v>
      </c>
      <c r="D75">
        <f t="shared" ref="D75:D138" ca="1" si="11">$B$6*$B$5*C75</f>
        <v>17.2</v>
      </c>
      <c r="E75">
        <f t="shared" ref="E75:E138" ca="1" si="12">IF(D75&gt;$B$5,D75-(2*$B$5),D75)</f>
        <v>-2.8000000000000007</v>
      </c>
      <c r="F75">
        <f t="shared" ref="F75:F138" ca="1" si="13">G75*(E75/100)</f>
        <v>-1.2539631998288738</v>
      </c>
      <c r="G75">
        <f t="shared" ca="1" si="6"/>
        <v>44.784399993888343</v>
      </c>
      <c r="H75">
        <f t="shared" ca="1" si="8"/>
        <v>43.530436794059469</v>
      </c>
    </row>
    <row r="76" spans="1:8" x14ac:dyDescent="0.3">
      <c r="A76" s="1">
        <v>45358</v>
      </c>
      <c r="B76" s="2">
        <f t="shared" si="9"/>
        <v>66</v>
      </c>
      <c r="C76">
        <f t="shared" ca="1" si="10"/>
        <v>0.85</v>
      </c>
      <c r="D76">
        <f t="shared" ca="1" si="11"/>
        <v>17</v>
      </c>
      <c r="E76">
        <f t="shared" ca="1" si="12"/>
        <v>-3</v>
      </c>
      <c r="F76">
        <f t="shared" ca="1" si="13"/>
        <v>-1.3059131038217839</v>
      </c>
      <c r="G76">
        <f t="shared" ref="G76:G139" ca="1" si="14">H75</f>
        <v>43.530436794059469</v>
      </c>
      <c r="H76">
        <f t="shared" ca="1" si="8"/>
        <v>42.224523690237682</v>
      </c>
    </row>
    <row r="77" spans="1:8" x14ac:dyDescent="0.3">
      <c r="A77" s="1">
        <v>45359</v>
      </c>
      <c r="B77" s="2">
        <f t="shared" si="9"/>
        <v>67</v>
      </c>
      <c r="C77">
        <f t="shared" ca="1" si="10"/>
        <v>0.62</v>
      </c>
      <c r="D77">
        <f t="shared" ca="1" si="11"/>
        <v>12.4</v>
      </c>
      <c r="E77">
        <f t="shared" ca="1" si="12"/>
        <v>-7.6</v>
      </c>
      <c r="F77">
        <f t="shared" ca="1" si="13"/>
        <v>-3.2090638004580638</v>
      </c>
      <c r="G77">
        <f t="shared" ca="1" si="14"/>
        <v>42.224523690237682</v>
      </c>
      <c r="H77">
        <f t="shared" ca="1" si="8"/>
        <v>39.015459889779621</v>
      </c>
    </row>
    <row r="78" spans="1:8" x14ac:dyDescent="0.3">
      <c r="A78" s="1">
        <v>45360</v>
      </c>
      <c r="B78" s="2">
        <f t="shared" si="9"/>
        <v>68</v>
      </c>
      <c r="C78">
        <f t="shared" ca="1" si="10"/>
        <v>0.72</v>
      </c>
      <c r="D78">
        <f t="shared" ca="1" si="11"/>
        <v>14.399999999999999</v>
      </c>
      <c r="E78">
        <f t="shared" ca="1" si="12"/>
        <v>-5.6000000000000014</v>
      </c>
      <c r="F78">
        <f t="shared" ca="1" si="13"/>
        <v>-2.1848657538276592</v>
      </c>
      <c r="G78">
        <f t="shared" ca="1" si="14"/>
        <v>39.015459889779621</v>
      </c>
      <c r="H78">
        <f t="shared" ca="1" si="8"/>
        <v>36.830594135951962</v>
      </c>
    </row>
    <row r="79" spans="1:8" x14ac:dyDescent="0.3">
      <c r="A79" s="1">
        <v>45361</v>
      </c>
      <c r="B79" s="2">
        <f t="shared" si="9"/>
        <v>69</v>
      </c>
      <c r="C79">
        <f t="shared" ca="1" si="10"/>
        <v>0.02</v>
      </c>
      <c r="D79">
        <f t="shared" ca="1" si="11"/>
        <v>0.4</v>
      </c>
      <c r="E79">
        <f t="shared" ca="1" si="12"/>
        <v>0.4</v>
      </c>
      <c r="F79">
        <f t="shared" ca="1" si="13"/>
        <v>0.14732237654380786</v>
      </c>
      <c r="G79">
        <f t="shared" ca="1" si="14"/>
        <v>36.830594135951962</v>
      </c>
      <c r="H79">
        <f t="shared" ca="1" si="8"/>
        <v>36.977916512495767</v>
      </c>
    </row>
    <row r="80" spans="1:8" x14ac:dyDescent="0.3">
      <c r="A80" s="1">
        <v>45362</v>
      </c>
      <c r="B80" s="2">
        <f t="shared" si="9"/>
        <v>70</v>
      </c>
      <c r="C80">
        <f t="shared" ca="1" si="10"/>
        <v>0.61</v>
      </c>
      <c r="D80">
        <f t="shared" ca="1" si="11"/>
        <v>12.2</v>
      </c>
      <c r="E80">
        <f t="shared" ca="1" si="12"/>
        <v>-7.8000000000000007</v>
      </c>
      <c r="F80">
        <f t="shared" ca="1" si="13"/>
        <v>-2.8842774879746704</v>
      </c>
      <c r="G80">
        <f t="shared" ca="1" si="14"/>
        <v>36.977916512495767</v>
      </c>
      <c r="H80">
        <f t="shared" ca="1" si="8"/>
        <v>34.093639024521096</v>
      </c>
    </row>
    <row r="81" spans="1:8" x14ac:dyDescent="0.3">
      <c r="A81" s="1">
        <v>45363</v>
      </c>
      <c r="B81" s="2">
        <f t="shared" si="9"/>
        <v>71</v>
      </c>
      <c r="C81">
        <f t="shared" ca="1" si="10"/>
        <v>0.16</v>
      </c>
      <c r="D81">
        <f t="shared" ca="1" si="11"/>
        <v>3.2</v>
      </c>
      <c r="E81">
        <f t="shared" ca="1" si="12"/>
        <v>3.2</v>
      </c>
      <c r="F81">
        <f t="shared" ca="1" si="13"/>
        <v>1.0909964487846751</v>
      </c>
      <c r="G81">
        <f t="shared" ca="1" si="14"/>
        <v>34.093639024521096</v>
      </c>
      <c r="H81">
        <f t="shared" ca="1" si="8"/>
        <v>35.184635473305768</v>
      </c>
    </row>
    <row r="82" spans="1:8" x14ac:dyDescent="0.3">
      <c r="A82" s="1">
        <v>45364</v>
      </c>
      <c r="B82" s="2">
        <f t="shared" si="9"/>
        <v>72</v>
      </c>
      <c r="C82">
        <f t="shared" ca="1" si="10"/>
        <v>0.77</v>
      </c>
      <c r="D82">
        <f t="shared" ca="1" si="11"/>
        <v>15.4</v>
      </c>
      <c r="E82">
        <f t="shared" ca="1" si="12"/>
        <v>-4.5999999999999996</v>
      </c>
      <c r="F82">
        <f t="shared" ca="1" si="13"/>
        <v>-1.6184932317720653</v>
      </c>
      <c r="G82">
        <f t="shared" ca="1" si="14"/>
        <v>35.184635473305768</v>
      </c>
      <c r="H82">
        <f t="shared" ca="1" si="8"/>
        <v>33.566142241533704</v>
      </c>
    </row>
    <row r="83" spans="1:8" x14ac:dyDescent="0.3">
      <c r="A83" s="1">
        <v>45365</v>
      </c>
      <c r="B83" s="2">
        <f t="shared" si="9"/>
        <v>73</v>
      </c>
      <c r="C83">
        <f t="shared" ca="1" si="10"/>
        <v>0.52</v>
      </c>
      <c r="D83">
        <f t="shared" ca="1" si="11"/>
        <v>10.4</v>
      </c>
      <c r="E83">
        <f t="shared" ca="1" si="12"/>
        <v>-9.6</v>
      </c>
      <c r="F83">
        <f t="shared" ca="1" si="13"/>
        <v>-3.2223496551872355</v>
      </c>
      <c r="G83">
        <f t="shared" ca="1" si="14"/>
        <v>33.566142241533704</v>
      </c>
      <c r="H83">
        <f t="shared" ca="1" si="8"/>
        <v>30.343792586346467</v>
      </c>
    </row>
    <row r="84" spans="1:8" x14ac:dyDescent="0.3">
      <c r="A84" s="1">
        <v>45366</v>
      </c>
      <c r="B84" s="2">
        <f t="shared" si="9"/>
        <v>74</v>
      </c>
      <c r="C84">
        <f t="shared" ca="1" si="10"/>
        <v>0.49</v>
      </c>
      <c r="D84">
        <f t="shared" ca="1" si="11"/>
        <v>9.8000000000000007</v>
      </c>
      <c r="E84">
        <f t="shared" ca="1" si="12"/>
        <v>9.8000000000000007</v>
      </c>
      <c r="F84">
        <f t="shared" ca="1" si="13"/>
        <v>2.9736916734619538</v>
      </c>
      <c r="G84">
        <f t="shared" ca="1" si="14"/>
        <v>30.343792586346467</v>
      </c>
      <c r="H84">
        <f t="shared" ca="1" si="8"/>
        <v>33.317484259808424</v>
      </c>
    </row>
    <row r="85" spans="1:8" x14ac:dyDescent="0.3">
      <c r="A85" s="1">
        <v>45367</v>
      </c>
      <c r="B85" s="2">
        <f t="shared" si="9"/>
        <v>75</v>
      </c>
      <c r="C85">
        <f t="shared" ca="1" si="10"/>
        <v>0.4</v>
      </c>
      <c r="D85">
        <f t="shared" ca="1" si="11"/>
        <v>8</v>
      </c>
      <c r="E85">
        <f t="shared" ca="1" si="12"/>
        <v>8</v>
      </c>
      <c r="F85">
        <f t="shared" ca="1" si="13"/>
        <v>2.6653987407846738</v>
      </c>
      <c r="G85">
        <f t="shared" ca="1" si="14"/>
        <v>33.317484259808424</v>
      </c>
      <c r="H85">
        <f t="shared" ca="1" si="8"/>
        <v>35.982883000593098</v>
      </c>
    </row>
    <row r="86" spans="1:8" x14ac:dyDescent="0.3">
      <c r="A86" s="1">
        <v>45368</v>
      </c>
      <c r="B86" s="2">
        <f t="shared" si="9"/>
        <v>76</v>
      </c>
      <c r="C86">
        <f t="shared" ca="1" si="10"/>
        <v>0.47</v>
      </c>
      <c r="D86">
        <f t="shared" ca="1" si="11"/>
        <v>9.3999999999999986</v>
      </c>
      <c r="E86">
        <f t="shared" ca="1" si="12"/>
        <v>9.3999999999999986</v>
      </c>
      <c r="F86">
        <f t="shared" ca="1" si="13"/>
        <v>3.3823910020557508</v>
      </c>
      <c r="G86">
        <f t="shared" ca="1" si="14"/>
        <v>35.982883000593098</v>
      </c>
      <c r="H86">
        <f t="shared" ca="1" si="8"/>
        <v>39.365274002648846</v>
      </c>
    </row>
    <row r="87" spans="1:8" x14ac:dyDescent="0.3">
      <c r="A87" s="1">
        <v>45369</v>
      </c>
      <c r="B87" s="2">
        <f t="shared" si="9"/>
        <v>77</v>
      </c>
      <c r="C87">
        <f t="shared" ca="1" si="10"/>
        <v>0.26</v>
      </c>
      <c r="D87">
        <f t="shared" ca="1" si="11"/>
        <v>5.2</v>
      </c>
      <c r="E87">
        <f t="shared" ca="1" si="12"/>
        <v>5.2</v>
      </c>
      <c r="F87">
        <f t="shared" ca="1" si="13"/>
        <v>2.0469942481377403</v>
      </c>
      <c r="G87">
        <f t="shared" ca="1" si="14"/>
        <v>39.365274002648846</v>
      </c>
      <c r="H87">
        <f t="shared" ca="1" si="8"/>
        <v>41.412268250786589</v>
      </c>
    </row>
    <row r="88" spans="1:8" x14ac:dyDescent="0.3">
      <c r="A88" s="1">
        <v>45370</v>
      </c>
      <c r="B88" s="2">
        <f t="shared" si="9"/>
        <v>78</v>
      </c>
      <c r="C88">
        <f t="shared" ca="1" si="10"/>
        <v>0.84</v>
      </c>
      <c r="D88">
        <f t="shared" ca="1" si="11"/>
        <v>16.8</v>
      </c>
      <c r="E88">
        <f t="shared" ca="1" si="12"/>
        <v>-3.1999999999999993</v>
      </c>
      <c r="F88">
        <f t="shared" ca="1" si="13"/>
        <v>-1.3251925840251706</v>
      </c>
      <c r="G88">
        <f t="shared" ca="1" si="14"/>
        <v>41.412268250786589</v>
      </c>
      <c r="H88">
        <f t="shared" ca="1" si="8"/>
        <v>40.087075666761422</v>
      </c>
    </row>
    <row r="89" spans="1:8" x14ac:dyDescent="0.3">
      <c r="A89" s="1">
        <v>45371</v>
      </c>
      <c r="B89" s="2">
        <f t="shared" si="9"/>
        <v>79</v>
      </c>
      <c r="C89">
        <f t="shared" ca="1" si="10"/>
        <v>1</v>
      </c>
      <c r="D89">
        <f t="shared" ca="1" si="11"/>
        <v>20</v>
      </c>
      <c r="E89">
        <f t="shared" ca="1" si="12"/>
        <v>0</v>
      </c>
      <c r="F89">
        <f t="shared" ca="1" si="13"/>
        <v>0</v>
      </c>
      <c r="G89">
        <f t="shared" ca="1" si="14"/>
        <v>40.087075666761422</v>
      </c>
      <c r="H89">
        <f t="shared" ca="1" si="8"/>
        <v>40.087075666761422</v>
      </c>
    </row>
    <row r="90" spans="1:8" x14ac:dyDescent="0.3">
      <c r="A90" s="1">
        <v>45372</v>
      </c>
      <c r="B90" s="2">
        <f t="shared" si="9"/>
        <v>80</v>
      </c>
      <c r="C90">
        <f t="shared" ca="1" si="10"/>
        <v>0.24</v>
      </c>
      <c r="D90">
        <f t="shared" ca="1" si="11"/>
        <v>4.8</v>
      </c>
      <c r="E90">
        <f t="shared" ca="1" si="12"/>
        <v>4.8</v>
      </c>
      <c r="F90">
        <f t="shared" ca="1" si="13"/>
        <v>1.9241796320045483</v>
      </c>
      <c r="G90">
        <f t="shared" ca="1" si="14"/>
        <v>40.087075666761422</v>
      </c>
      <c r="H90">
        <f t="shared" ca="1" si="8"/>
        <v>42.011255298765967</v>
      </c>
    </row>
    <row r="91" spans="1:8" x14ac:dyDescent="0.3">
      <c r="A91" s="1">
        <v>45373</v>
      </c>
      <c r="B91" s="2">
        <f t="shared" si="9"/>
        <v>81</v>
      </c>
      <c r="C91">
        <f t="shared" ca="1" si="10"/>
        <v>0.64</v>
      </c>
      <c r="D91">
        <f t="shared" ca="1" si="11"/>
        <v>12.8</v>
      </c>
      <c r="E91">
        <f t="shared" ca="1" si="12"/>
        <v>-7.1999999999999993</v>
      </c>
      <c r="F91">
        <f t="shared" ca="1" si="13"/>
        <v>-3.0248103815111493</v>
      </c>
      <c r="G91">
        <f t="shared" ca="1" si="14"/>
        <v>42.011255298765967</v>
      </c>
      <c r="H91">
        <f t="shared" ca="1" si="8"/>
        <v>38.986444917254815</v>
      </c>
    </row>
    <row r="92" spans="1:8" x14ac:dyDescent="0.3">
      <c r="A92" s="1">
        <v>45374</v>
      </c>
      <c r="B92" s="2">
        <f t="shared" si="9"/>
        <v>82</v>
      </c>
      <c r="C92">
        <f t="shared" ca="1" si="10"/>
        <v>0.19</v>
      </c>
      <c r="D92">
        <f t="shared" ca="1" si="11"/>
        <v>3.8</v>
      </c>
      <c r="E92">
        <f t="shared" ca="1" si="12"/>
        <v>3.8</v>
      </c>
      <c r="F92">
        <f t="shared" ca="1" si="13"/>
        <v>1.481484906855683</v>
      </c>
      <c r="G92">
        <f t="shared" ca="1" si="14"/>
        <v>38.986444917254815</v>
      </c>
      <c r="H92">
        <f t="shared" ca="1" si="8"/>
        <v>40.467929824110499</v>
      </c>
    </row>
    <row r="93" spans="1:8" x14ac:dyDescent="0.3">
      <c r="A93" s="1">
        <v>45375</v>
      </c>
      <c r="B93" s="2">
        <f t="shared" si="9"/>
        <v>83</v>
      </c>
      <c r="C93">
        <f t="shared" ca="1" si="10"/>
        <v>0.36</v>
      </c>
      <c r="D93">
        <f t="shared" ca="1" si="11"/>
        <v>7.1999999999999993</v>
      </c>
      <c r="E93">
        <f t="shared" ca="1" si="12"/>
        <v>7.1999999999999993</v>
      </c>
      <c r="F93">
        <f t="shared" ca="1" si="13"/>
        <v>2.9136909473359558</v>
      </c>
      <c r="G93">
        <f t="shared" ca="1" si="14"/>
        <v>40.467929824110499</v>
      </c>
      <c r="H93">
        <f t="shared" ca="1" si="8"/>
        <v>43.381620771446457</v>
      </c>
    </row>
    <row r="94" spans="1:8" x14ac:dyDescent="0.3">
      <c r="A94" s="1">
        <v>45376</v>
      </c>
      <c r="B94" s="2">
        <f t="shared" si="9"/>
        <v>84</v>
      </c>
      <c r="C94">
        <f t="shared" ca="1" si="10"/>
        <v>0.55000000000000004</v>
      </c>
      <c r="D94">
        <f t="shared" ca="1" si="11"/>
        <v>11</v>
      </c>
      <c r="E94">
        <f t="shared" ca="1" si="12"/>
        <v>-9</v>
      </c>
      <c r="F94">
        <f t="shared" ca="1" si="13"/>
        <v>-3.9043458694301809</v>
      </c>
      <c r="G94">
        <f t="shared" ca="1" si="14"/>
        <v>43.381620771446457</v>
      </c>
      <c r="H94">
        <f t="shared" ca="1" si="8"/>
        <v>39.477274902016276</v>
      </c>
    </row>
    <row r="95" spans="1:8" x14ac:dyDescent="0.3">
      <c r="A95" s="1">
        <v>45377</v>
      </c>
      <c r="B95" s="2">
        <f t="shared" si="9"/>
        <v>85</v>
      </c>
      <c r="C95">
        <f t="shared" ca="1" si="10"/>
        <v>0.88</v>
      </c>
      <c r="D95">
        <f t="shared" ca="1" si="11"/>
        <v>17.600000000000001</v>
      </c>
      <c r="E95">
        <f t="shared" ca="1" si="12"/>
        <v>-2.3999999999999986</v>
      </c>
      <c r="F95">
        <f t="shared" ca="1" si="13"/>
        <v>-0.94745459764839013</v>
      </c>
      <c r="G95">
        <f t="shared" ca="1" si="14"/>
        <v>39.477274902016276</v>
      </c>
      <c r="H95">
        <f t="shared" ca="1" si="8"/>
        <v>38.529820304367888</v>
      </c>
    </row>
    <row r="96" spans="1:8" x14ac:dyDescent="0.3">
      <c r="A96" s="1">
        <v>45378</v>
      </c>
      <c r="B96" s="2">
        <f t="shared" si="9"/>
        <v>86</v>
      </c>
      <c r="C96">
        <f t="shared" ca="1" si="10"/>
        <v>0.53</v>
      </c>
      <c r="D96">
        <f t="shared" ca="1" si="11"/>
        <v>10.600000000000001</v>
      </c>
      <c r="E96">
        <f t="shared" ca="1" si="12"/>
        <v>-9.3999999999999986</v>
      </c>
      <c r="F96">
        <f t="shared" ca="1" si="13"/>
        <v>-3.6218031086105809</v>
      </c>
      <c r="G96">
        <f t="shared" ca="1" si="14"/>
        <v>38.529820304367888</v>
      </c>
      <c r="H96">
        <f t="shared" ca="1" si="8"/>
        <v>34.90801719575731</v>
      </c>
    </row>
    <row r="97" spans="1:8" x14ac:dyDescent="0.3">
      <c r="A97" s="1">
        <v>45379</v>
      </c>
      <c r="B97" s="2">
        <f t="shared" si="9"/>
        <v>87</v>
      </c>
      <c r="C97">
        <f t="shared" ca="1" si="10"/>
        <v>0.12</v>
      </c>
      <c r="D97">
        <f t="shared" ca="1" si="11"/>
        <v>2.4</v>
      </c>
      <c r="E97">
        <f t="shared" ca="1" si="12"/>
        <v>2.4</v>
      </c>
      <c r="F97">
        <f t="shared" ca="1" si="13"/>
        <v>0.8377924126981755</v>
      </c>
      <c r="G97">
        <f t="shared" ca="1" si="14"/>
        <v>34.90801719575731</v>
      </c>
      <c r="H97">
        <f t="shared" ca="1" si="8"/>
        <v>35.745809608455488</v>
      </c>
    </row>
    <row r="98" spans="1:8" x14ac:dyDescent="0.3">
      <c r="A98" s="1">
        <v>45380</v>
      </c>
      <c r="B98" s="2">
        <f t="shared" si="9"/>
        <v>88</v>
      </c>
      <c r="C98">
        <f t="shared" ca="1" si="10"/>
        <v>0.6</v>
      </c>
      <c r="D98">
        <f t="shared" ca="1" si="11"/>
        <v>12</v>
      </c>
      <c r="E98">
        <f t="shared" ca="1" si="12"/>
        <v>-8</v>
      </c>
      <c r="F98">
        <f t="shared" ca="1" si="13"/>
        <v>-2.8596647686764389</v>
      </c>
      <c r="G98">
        <f t="shared" ca="1" si="14"/>
        <v>35.745809608455488</v>
      </c>
      <c r="H98">
        <f t="shared" ca="1" si="8"/>
        <v>32.88614483977905</v>
      </c>
    </row>
    <row r="99" spans="1:8" x14ac:dyDescent="0.3">
      <c r="A99" s="1">
        <v>45381</v>
      </c>
      <c r="B99" s="2">
        <f t="shared" si="9"/>
        <v>89</v>
      </c>
      <c r="C99">
        <f t="shared" ca="1" si="10"/>
        <v>0.36</v>
      </c>
      <c r="D99">
        <f t="shared" ca="1" si="11"/>
        <v>7.1999999999999993</v>
      </c>
      <c r="E99">
        <f t="shared" ca="1" si="12"/>
        <v>7.1999999999999993</v>
      </c>
      <c r="F99">
        <f t="shared" ca="1" si="13"/>
        <v>2.3678024284640915</v>
      </c>
      <c r="G99">
        <f t="shared" ca="1" si="14"/>
        <v>32.88614483977905</v>
      </c>
      <c r="H99">
        <f t="shared" ca="1" si="8"/>
        <v>35.253947268243138</v>
      </c>
    </row>
    <row r="100" spans="1:8" x14ac:dyDescent="0.3">
      <c r="A100" s="1">
        <v>45382</v>
      </c>
      <c r="B100" s="2">
        <f t="shared" si="9"/>
        <v>90</v>
      </c>
      <c r="C100">
        <f t="shared" ca="1" si="10"/>
        <v>0.04</v>
      </c>
      <c r="D100">
        <f t="shared" ca="1" si="11"/>
        <v>0.8</v>
      </c>
      <c r="E100">
        <f t="shared" ca="1" si="12"/>
        <v>0.8</v>
      </c>
      <c r="F100">
        <f t="shared" ca="1" si="13"/>
        <v>0.28203157814594509</v>
      </c>
      <c r="G100">
        <f t="shared" ca="1" si="14"/>
        <v>35.253947268243138</v>
      </c>
      <c r="H100">
        <f t="shared" ca="1" si="8"/>
        <v>35.535978846389085</v>
      </c>
    </row>
    <row r="101" spans="1:8" x14ac:dyDescent="0.3">
      <c r="A101" s="1">
        <v>45383</v>
      </c>
      <c r="B101" s="2">
        <f t="shared" si="9"/>
        <v>91</v>
      </c>
      <c r="C101">
        <f t="shared" ca="1" si="10"/>
        <v>0.39</v>
      </c>
      <c r="D101">
        <f t="shared" ca="1" si="11"/>
        <v>7.8000000000000007</v>
      </c>
      <c r="E101">
        <f t="shared" ca="1" si="12"/>
        <v>7.8000000000000007</v>
      </c>
      <c r="F101">
        <f t="shared" ca="1" si="13"/>
        <v>2.7718063500183492</v>
      </c>
      <c r="G101">
        <f t="shared" ca="1" si="14"/>
        <v>35.535978846389085</v>
      </c>
      <c r="H101">
        <f t="shared" ca="1" si="8"/>
        <v>38.307785196407437</v>
      </c>
    </row>
    <row r="102" spans="1:8" x14ac:dyDescent="0.3">
      <c r="A102" s="1">
        <v>45384</v>
      </c>
      <c r="B102" s="2">
        <f t="shared" si="9"/>
        <v>92</v>
      </c>
      <c r="C102">
        <f t="shared" ca="1" si="10"/>
        <v>0.99</v>
      </c>
      <c r="D102">
        <f t="shared" ca="1" si="11"/>
        <v>19.8</v>
      </c>
      <c r="E102">
        <f t="shared" ca="1" si="12"/>
        <v>-0.19999999999999929</v>
      </c>
      <c r="F102">
        <f t="shared" ca="1" si="13"/>
        <v>-7.6615570392814608E-2</v>
      </c>
      <c r="G102">
        <f t="shared" ca="1" si="14"/>
        <v>38.307785196407437</v>
      </c>
      <c r="H102">
        <f t="shared" ca="1" si="8"/>
        <v>38.231169626014619</v>
      </c>
    </row>
    <row r="103" spans="1:8" x14ac:dyDescent="0.3">
      <c r="A103" s="1">
        <v>45385</v>
      </c>
      <c r="B103" s="2">
        <f t="shared" si="9"/>
        <v>93</v>
      </c>
      <c r="C103">
        <f t="shared" ca="1" si="10"/>
        <v>0.64</v>
      </c>
      <c r="D103">
        <f t="shared" ca="1" si="11"/>
        <v>12.8</v>
      </c>
      <c r="E103">
        <f t="shared" ca="1" si="12"/>
        <v>-7.1999999999999993</v>
      </c>
      <c r="F103">
        <f t="shared" ca="1" si="13"/>
        <v>-2.7526442130730522</v>
      </c>
      <c r="G103">
        <f t="shared" ca="1" si="14"/>
        <v>38.231169626014619</v>
      </c>
      <c r="H103">
        <f t="shared" ca="1" si="8"/>
        <v>35.478525412941565</v>
      </c>
    </row>
    <row r="104" spans="1:8" x14ac:dyDescent="0.3">
      <c r="A104" s="1">
        <v>45386</v>
      </c>
      <c r="B104" s="2">
        <f t="shared" si="9"/>
        <v>94</v>
      </c>
      <c r="C104">
        <f t="shared" ca="1" si="10"/>
        <v>0.89</v>
      </c>
      <c r="D104">
        <f t="shared" ca="1" si="11"/>
        <v>17.8</v>
      </c>
      <c r="E104">
        <f t="shared" ca="1" si="12"/>
        <v>-2.1999999999999993</v>
      </c>
      <c r="F104">
        <f t="shared" ca="1" si="13"/>
        <v>-0.78052755908471416</v>
      </c>
      <c r="G104">
        <f t="shared" ca="1" si="14"/>
        <v>35.478525412941565</v>
      </c>
      <c r="H104">
        <f t="shared" ca="1" si="8"/>
        <v>34.697997853856847</v>
      </c>
    </row>
    <row r="105" spans="1:8" x14ac:dyDescent="0.3">
      <c r="A105" s="1">
        <v>45387</v>
      </c>
      <c r="B105" s="2">
        <f t="shared" si="9"/>
        <v>95</v>
      </c>
      <c r="C105">
        <f t="shared" ca="1" si="10"/>
        <v>0.09</v>
      </c>
      <c r="D105">
        <f t="shared" ca="1" si="11"/>
        <v>1.7999999999999998</v>
      </c>
      <c r="E105">
        <f t="shared" ca="1" si="12"/>
        <v>1.7999999999999998</v>
      </c>
      <c r="F105">
        <f t="shared" ca="1" si="13"/>
        <v>0.62456396136942316</v>
      </c>
      <c r="G105">
        <f t="shared" ca="1" si="14"/>
        <v>34.697997853856847</v>
      </c>
      <c r="H105">
        <f t="shared" ca="1" si="8"/>
        <v>35.322561815226273</v>
      </c>
    </row>
    <row r="106" spans="1:8" x14ac:dyDescent="0.3">
      <c r="A106" s="1">
        <v>45388</v>
      </c>
      <c r="B106" s="2">
        <f t="shared" si="9"/>
        <v>96</v>
      </c>
      <c r="C106">
        <f t="shared" ca="1" si="10"/>
        <v>0.16</v>
      </c>
      <c r="D106">
        <f t="shared" ca="1" si="11"/>
        <v>3.2</v>
      </c>
      <c r="E106">
        <f t="shared" ca="1" si="12"/>
        <v>3.2</v>
      </c>
      <c r="F106">
        <f t="shared" ca="1" si="13"/>
        <v>1.1303219780872407</v>
      </c>
      <c r="G106">
        <f t="shared" ca="1" si="14"/>
        <v>35.322561815226273</v>
      </c>
      <c r="H106">
        <f t="shared" ref="H106:H169" ca="1" si="15">G106+F106</f>
        <v>36.452883793313511</v>
      </c>
    </row>
    <row r="107" spans="1:8" x14ac:dyDescent="0.3">
      <c r="A107" s="1">
        <v>45389</v>
      </c>
      <c r="B107" s="2">
        <f t="shared" si="9"/>
        <v>97</v>
      </c>
      <c r="C107">
        <f t="shared" ca="1" si="10"/>
        <v>0.53</v>
      </c>
      <c r="D107">
        <f t="shared" ca="1" si="11"/>
        <v>10.600000000000001</v>
      </c>
      <c r="E107">
        <f t="shared" ca="1" si="12"/>
        <v>-9.3999999999999986</v>
      </c>
      <c r="F107">
        <f t="shared" ca="1" si="13"/>
        <v>-3.4265710765714696</v>
      </c>
      <c r="G107">
        <f t="shared" ca="1" si="14"/>
        <v>36.452883793313511</v>
      </c>
      <c r="H107">
        <f t="shared" ca="1" si="15"/>
        <v>33.026312716742041</v>
      </c>
    </row>
    <row r="108" spans="1:8" x14ac:dyDescent="0.3">
      <c r="A108" s="1">
        <v>45390</v>
      </c>
      <c r="B108" s="2">
        <f t="shared" si="9"/>
        <v>98</v>
      </c>
      <c r="C108">
        <f t="shared" ca="1" si="10"/>
        <v>0.57999999999999996</v>
      </c>
      <c r="D108">
        <f t="shared" ca="1" si="11"/>
        <v>11.6</v>
      </c>
      <c r="E108">
        <f t="shared" ca="1" si="12"/>
        <v>-8.4</v>
      </c>
      <c r="F108">
        <f t="shared" ca="1" si="13"/>
        <v>-2.7742102682063314</v>
      </c>
      <c r="G108">
        <f t="shared" ca="1" si="14"/>
        <v>33.026312716742041</v>
      </c>
      <c r="H108">
        <f t="shared" ca="1" si="15"/>
        <v>30.252102448535709</v>
      </c>
    </row>
    <row r="109" spans="1:8" x14ac:dyDescent="0.3">
      <c r="A109" s="1">
        <v>45391</v>
      </c>
      <c r="B109" s="2">
        <f t="shared" si="9"/>
        <v>99</v>
      </c>
      <c r="C109">
        <f t="shared" ca="1" si="10"/>
        <v>0.75</v>
      </c>
      <c r="D109">
        <f t="shared" ca="1" si="11"/>
        <v>15</v>
      </c>
      <c r="E109">
        <f t="shared" ca="1" si="12"/>
        <v>-5</v>
      </c>
      <c r="F109">
        <f t="shared" ca="1" si="13"/>
        <v>-1.5126051224267856</v>
      </c>
      <c r="G109">
        <f t="shared" ca="1" si="14"/>
        <v>30.252102448535709</v>
      </c>
      <c r="H109">
        <f t="shared" ca="1" si="15"/>
        <v>28.739497326108925</v>
      </c>
    </row>
    <row r="110" spans="1:8" x14ac:dyDescent="0.3">
      <c r="A110" s="1">
        <v>45392</v>
      </c>
      <c r="B110" s="2">
        <f t="shared" si="9"/>
        <v>100</v>
      </c>
      <c r="C110">
        <f t="shared" ca="1" si="10"/>
        <v>0.1</v>
      </c>
      <c r="D110">
        <f t="shared" ca="1" si="11"/>
        <v>2</v>
      </c>
      <c r="E110">
        <f t="shared" ca="1" si="12"/>
        <v>2</v>
      </c>
      <c r="F110">
        <f t="shared" ca="1" si="13"/>
        <v>0.57478994652217852</v>
      </c>
      <c r="G110">
        <f t="shared" ca="1" si="14"/>
        <v>28.739497326108925</v>
      </c>
      <c r="H110">
        <f t="shared" ca="1" si="15"/>
        <v>29.314287272631102</v>
      </c>
    </row>
    <row r="111" spans="1:8" x14ac:dyDescent="0.3">
      <c r="A111" s="1">
        <v>45393</v>
      </c>
      <c r="B111" s="2">
        <f t="shared" si="9"/>
        <v>101</v>
      </c>
      <c r="C111">
        <f t="shared" ca="1" si="10"/>
        <v>0.39</v>
      </c>
      <c r="D111">
        <f t="shared" ca="1" si="11"/>
        <v>7.8000000000000007</v>
      </c>
      <c r="E111">
        <f t="shared" ca="1" si="12"/>
        <v>7.8000000000000007</v>
      </c>
      <c r="F111">
        <f t="shared" ca="1" si="13"/>
        <v>2.2865144072652264</v>
      </c>
      <c r="G111">
        <f t="shared" ca="1" si="14"/>
        <v>29.314287272631102</v>
      </c>
      <c r="H111">
        <f t="shared" ca="1" si="15"/>
        <v>31.600801679896328</v>
      </c>
    </row>
    <row r="112" spans="1:8" x14ac:dyDescent="0.3">
      <c r="A112" s="1">
        <v>45394</v>
      </c>
      <c r="B112" s="2">
        <f t="shared" si="9"/>
        <v>102</v>
      </c>
      <c r="C112">
        <f t="shared" ca="1" si="10"/>
        <v>7.0000000000000007E-2</v>
      </c>
      <c r="D112">
        <f t="shared" ca="1" si="11"/>
        <v>1.4000000000000001</v>
      </c>
      <c r="E112">
        <f t="shared" ca="1" si="12"/>
        <v>1.4000000000000001</v>
      </c>
      <c r="F112">
        <f t="shared" ca="1" si="13"/>
        <v>0.44241122351854867</v>
      </c>
      <c r="G112">
        <f t="shared" ca="1" si="14"/>
        <v>31.600801679896328</v>
      </c>
      <c r="H112">
        <f t="shared" ca="1" si="15"/>
        <v>32.043212903414876</v>
      </c>
    </row>
    <row r="113" spans="1:8" x14ac:dyDescent="0.3">
      <c r="A113" s="1">
        <v>45395</v>
      </c>
      <c r="B113" s="2">
        <f t="shared" si="9"/>
        <v>103</v>
      </c>
      <c r="C113">
        <f t="shared" ca="1" si="10"/>
        <v>0.42</v>
      </c>
      <c r="D113">
        <f t="shared" ca="1" si="11"/>
        <v>8.4</v>
      </c>
      <c r="E113">
        <f t="shared" ca="1" si="12"/>
        <v>8.4</v>
      </c>
      <c r="F113">
        <f t="shared" ca="1" si="13"/>
        <v>2.6916298838868498</v>
      </c>
      <c r="G113">
        <f t="shared" ca="1" si="14"/>
        <v>32.043212903414876</v>
      </c>
      <c r="H113">
        <f t="shared" ca="1" si="15"/>
        <v>34.734842787301723</v>
      </c>
    </row>
    <row r="114" spans="1:8" x14ac:dyDescent="0.3">
      <c r="A114" s="1">
        <v>45396</v>
      </c>
      <c r="B114" s="2">
        <f t="shared" si="9"/>
        <v>104</v>
      </c>
      <c r="C114">
        <f t="shared" ca="1" si="10"/>
        <v>0.94</v>
      </c>
      <c r="D114">
        <f t="shared" ca="1" si="11"/>
        <v>18.799999999999997</v>
      </c>
      <c r="E114">
        <f t="shared" ca="1" si="12"/>
        <v>-1.2000000000000028</v>
      </c>
      <c r="F114">
        <f t="shared" ca="1" si="13"/>
        <v>-0.41681811344762165</v>
      </c>
      <c r="G114">
        <f t="shared" ca="1" si="14"/>
        <v>34.734842787301723</v>
      </c>
      <c r="H114">
        <f t="shared" ca="1" si="15"/>
        <v>34.318024673854104</v>
      </c>
    </row>
    <row r="115" spans="1:8" x14ac:dyDescent="0.3">
      <c r="A115" s="1">
        <v>45397</v>
      </c>
      <c r="B115" s="2">
        <f t="shared" si="9"/>
        <v>105</v>
      </c>
      <c r="C115">
        <f t="shared" ca="1" si="10"/>
        <v>0.38</v>
      </c>
      <c r="D115">
        <f t="shared" ca="1" si="11"/>
        <v>7.6</v>
      </c>
      <c r="E115">
        <f t="shared" ca="1" si="12"/>
        <v>7.6</v>
      </c>
      <c r="F115">
        <f t="shared" ca="1" si="13"/>
        <v>2.6081698752129117</v>
      </c>
      <c r="G115">
        <f t="shared" ca="1" si="14"/>
        <v>34.318024673854104</v>
      </c>
      <c r="H115">
        <f t="shared" ca="1" si="15"/>
        <v>36.926194549067013</v>
      </c>
    </row>
    <row r="116" spans="1:8" x14ac:dyDescent="0.3">
      <c r="A116" s="1">
        <v>45398</v>
      </c>
      <c r="B116" s="2">
        <f t="shared" si="9"/>
        <v>106</v>
      </c>
      <c r="C116">
        <f t="shared" ca="1" si="10"/>
        <v>0.3</v>
      </c>
      <c r="D116">
        <f t="shared" ca="1" si="11"/>
        <v>6</v>
      </c>
      <c r="E116">
        <f t="shared" ca="1" si="12"/>
        <v>6</v>
      </c>
      <c r="F116">
        <f t="shared" ca="1" si="13"/>
        <v>2.2155716729440207</v>
      </c>
      <c r="G116">
        <f t="shared" ca="1" si="14"/>
        <v>36.926194549067013</v>
      </c>
      <c r="H116">
        <f t="shared" ca="1" si="15"/>
        <v>39.141766222011036</v>
      </c>
    </row>
    <row r="117" spans="1:8" x14ac:dyDescent="0.3">
      <c r="A117" s="1">
        <v>45399</v>
      </c>
      <c r="B117" s="2">
        <f t="shared" si="9"/>
        <v>107</v>
      </c>
      <c r="C117">
        <f t="shared" ca="1" si="10"/>
        <v>0.8</v>
      </c>
      <c r="D117">
        <f t="shared" ca="1" si="11"/>
        <v>16</v>
      </c>
      <c r="E117">
        <f t="shared" ca="1" si="12"/>
        <v>-4</v>
      </c>
      <c r="F117">
        <f t="shared" ca="1" si="13"/>
        <v>-1.5656706488804415</v>
      </c>
      <c r="G117">
        <f t="shared" ca="1" si="14"/>
        <v>39.141766222011036</v>
      </c>
      <c r="H117">
        <f t="shared" ca="1" si="15"/>
        <v>37.576095573130594</v>
      </c>
    </row>
    <row r="118" spans="1:8" x14ac:dyDescent="0.3">
      <c r="A118" s="1">
        <v>45400</v>
      </c>
      <c r="B118" s="2">
        <f t="shared" si="9"/>
        <v>108</v>
      </c>
      <c r="C118">
        <f t="shared" ca="1" si="10"/>
        <v>0.13</v>
      </c>
      <c r="D118">
        <f t="shared" ca="1" si="11"/>
        <v>2.6</v>
      </c>
      <c r="E118">
        <f t="shared" ca="1" si="12"/>
        <v>2.6</v>
      </c>
      <c r="F118">
        <f t="shared" ca="1" si="13"/>
        <v>0.97697848490139549</v>
      </c>
      <c r="G118">
        <f t="shared" ca="1" si="14"/>
        <v>37.576095573130594</v>
      </c>
      <c r="H118">
        <f t="shared" ca="1" si="15"/>
        <v>38.553074058031989</v>
      </c>
    </row>
    <row r="119" spans="1:8" x14ac:dyDescent="0.3">
      <c r="A119" s="1">
        <v>45401</v>
      </c>
      <c r="B119" s="2">
        <f t="shared" si="9"/>
        <v>109</v>
      </c>
      <c r="C119">
        <f t="shared" ca="1" si="10"/>
        <v>0.99</v>
      </c>
      <c r="D119">
        <f t="shared" ca="1" si="11"/>
        <v>19.8</v>
      </c>
      <c r="E119">
        <f t="shared" ca="1" si="12"/>
        <v>-0.19999999999999929</v>
      </c>
      <c r="F119">
        <f t="shared" ca="1" si="13"/>
        <v>-7.7106148116063714E-2</v>
      </c>
      <c r="G119">
        <f t="shared" ca="1" si="14"/>
        <v>38.553074058031989</v>
      </c>
      <c r="H119">
        <f t="shared" ca="1" si="15"/>
        <v>38.475967909915923</v>
      </c>
    </row>
    <row r="120" spans="1:8" x14ac:dyDescent="0.3">
      <c r="A120" s="1">
        <v>45402</v>
      </c>
      <c r="B120" s="2">
        <f t="shared" si="9"/>
        <v>110</v>
      </c>
      <c r="C120">
        <f t="shared" ca="1" si="10"/>
        <v>0.3</v>
      </c>
      <c r="D120">
        <f t="shared" ca="1" si="11"/>
        <v>6</v>
      </c>
      <c r="E120">
        <f t="shared" ca="1" si="12"/>
        <v>6</v>
      </c>
      <c r="F120">
        <f t="shared" ca="1" si="13"/>
        <v>2.3085580745949552</v>
      </c>
      <c r="G120">
        <f t="shared" ca="1" si="14"/>
        <v>38.475967909915923</v>
      </c>
      <c r="H120">
        <f t="shared" ca="1" si="15"/>
        <v>40.784525984510879</v>
      </c>
    </row>
    <row r="121" spans="1:8" x14ac:dyDescent="0.3">
      <c r="A121" s="1">
        <v>45403</v>
      </c>
      <c r="B121" s="2">
        <f t="shared" si="9"/>
        <v>111</v>
      </c>
      <c r="C121">
        <f t="shared" ca="1" si="10"/>
        <v>0.74</v>
      </c>
      <c r="D121">
        <f t="shared" ca="1" si="11"/>
        <v>14.8</v>
      </c>
      <c r="E121">
        <f t="shared" ca="1" si="12"/>
        <v>-5.1999999999999993</v>
      </c>
      <c r="F121">
        <f t="shared" ca="1" si="13"/>
        <v>-2.1207953511945652</v>
      </c>
      <c r="G121">
        <f t="shared" ca="1" si="14"/>
        <v>40.784525984510879</v>
      </c>
      <c r="H121">
        <f t="shared" ca="1" si="15"/>
        <v>38.663730633316312</v>
      </c>
    </row>
    <row r="122" spans="1:8" x14ac:dyDescent="0.3">
      <c r="A122" s="1">
        <v>45404</v>
      </c>
      <c r="B122" s="2">
        <f t="shared" si="9"/>
        <v>112</v>
      </c>
      <c r="C122">
        <f t="shared" ca="1" si="10"/>
        <v>1</v>
      </c>
      <c r="D122">
        <f t="shared" ca="1" si="11"/>
        <v>20</v>
      </c>
      <c r="E122">
        <f t="shared" ca="1" si="12"/>
        <v>0</v>
      </c>
      <c r="F122">
        <f t="shared" ca="1" si="13"/>
        <v>0</v>
      </c>
      <c r="G122">
        <f t="shared" ca="1" si="14"/>
        <v>38.663730633316312</v>
      </c>
      <c r="H122">
        <f t="shared" ca="1" si="15"/>
        <v>38.663730633316312</v>
      </c>
    </row>
    <row r="123" spans="1:8" x14ac:dyDescent="0.3">
      <c r="A123" s="1">
        <v>45405</v>
      </c>
      <c r="B123" s="2">
        <f t="shared" si="9"/>
        <v>113</v>
      </c>
      <c r="C123">
        <f t="shared" ca="1" si="10"/>
        <v>0.8</v>
      </c>
      <c r="D123">
        <f t="shared" ca="1" si="11"/>
        <v>16</v>
      </c>
      <c r="E123">
        <f t="shared" ca="1" si="12"/>
        <v>-4</v>
      </c>
      <c r="F123">
        <f t="shared" ca="1" si="13"/>
        <v>-1.5465492253326525</v>
      </c>
      <c r="G123">
        <f t="shared" ca="1" si="14"/>
        <v>38.663730633316312</v>
      </c>
      <c r="H123">
        <f t="shared" ca="1" si="15"/>
        <v>37.117181407983658</v>
      </c>
    </row>
    <row r="124" spans="1:8" x14ac:dyDescent="0.3">
      <c r="A124" s="1">
        <v>45406</v>
      </c>
      <c r="B124" s="2">
        <f t="shared" si="9"/>
        <v>114</v>
      </c>
      <c r="C124">
        <f t="shared" ca="1" si="10"/>
        <v>0.77</v>
      </c>
      <c r="D124">
        <f t="shared" ca="1" si="11"/>
        <v>15.4</v>
      </c>
      <c r="E124">
        <f t="shared" ca="1" si="12"/>
        <v>-4.5999999999999996</v>
      </c>
      <c r="F124">
        <f t="shared" ca="1" si="13"/>
        <v>-1.7073903447672483</v>
      </c>
      <c r="G124">
        <f t="shared" ca="1" si="14"/>
        <v>37.117181407983658</v>
      </c>
      <c r="H124">
        <f t="shared" ca="1" si="15"/>
        <v>35.40979106321641</v>
      </c>
    </row>
    <row r="125" spans="1:8" x14ac:dyDescent="0.3">
      <c r="A125" s="1">
        <v>45407</v>
      </c>
      <c r="B125" s="2">
        <f t="shared" si="9"/>
        <v>115</v>
      </c>
      <c r="C125">
        <f t="shared" ca="1" si="10"/>
        <v>0.71</v>
      </c>
      <c r="D125">
        <f t="shared" ca="1" si="11"/>
        <v>14.2</v>
      </c>
      <c r="E125">
        <f t="shared" ca="1" si="12"/>
        <v>-5.8000000000000007</v>
      </c>
      <c r="F125">
        <f t="shared" ca="1" si="13"/>
        <v>-2.0537678816665523</v>
      </c>
      <c r="G125">
        <f t="shared" ca="1" si="14"/>
        <v>35.40979106321641</v>
      </c>
      <c r="H125">
        <f t="shared" ca="1" si="15"/>
        <v>33.356023181549858</v>
      </c>
    </row>
    <row r="126" spans="1:8" x14ac:dyDescent="0.3">
      <c r="A126" s="1">
        <v>45408</v>
      </c>
      <c r="B126" s="2">
        <f t="shared" si="9"/>
        <v>116</v>
      </c>
      <c r="C126">
        <f t="shared" ca="1" si="10"/>
        <v>0.14000000000000001</v>
      </c>
      <c r="D126">
        <f t="shared" ca="1" si="11"/>
        <v>2.8000000000000003</v>
      </c>
      <c r="E126">
        <f t="shared" ca="1" si="12"/>
        <v>2.8000000000000003</v>
      </c>
      <c r="F126">
        <f t="shared" ca="1" si="13"/>
        <v>0.93396864908339616</v>
      </c>
      <c r="G126">
        <f t="shared" ca="1" si="14"/>
        <v>33.356023181549858</v>
      </c>
      <c r="H126">
        <f t="shared" ca="1" si="15"/>
        <v>34.289991830633255</v>
      </c>
    </row>
    <row r="127" spans="1:8" x14ac:dyDescent="0.3">
      <c r="A127" s="1">
        <v>45409</v>
      </c>
      <c r="B127" s="2">
        <f t="shared" si="9"/>
        <v>117</v>
      </c>
      <c r="C127">
        <f t="shared" ca="1" si="10"/>
        <v>0.13</v>
      </c>
      <c r="D127">
        <f t="shared" ca="1" si="11"/>
        <v>2.6</v>
      </c>
      <c r="E127">
        <f t="shared" ca="1" si="12"/>
        <v>2.6</v>
      </c>
      <c r="F127">
        <f t="shared" ca="1" si="13"/>
        <v>0.89153978759646468</v>
      </c>
      <c r="G127">
        <f t="shared" ca="1" si="14"/>
        <v>34.289991830633255</v>
      </c>
      <c r="H127">
        <f t="shared" ca="1" si="15"/>
        <v>35.18153161822972</v>
      </c>
    </row>
    <row r="128" spans="1:8" x14ac:dyDescent="0.3">
      <c r="A128" s="1">
        <v>45410</v>
      </c>
      <c r="B128" s="2">
        <f t="shared" si="9"/>
        <v>118</v>
      </c>
      <c r="C128">
        <f t="shared" ca="1" si="10"/>
        <v>0.98</v>
      </c>
      <c r="D128">
        <f t="shared" ca="1" si="11"/>
        <v>19.600000000000001</v>
      </c>
      <c r="E128">
        <f t="shared" ca="1" si="12"/>
        <v>-0.39999999999999858</v>
      </c>
      <c r="F128">
        <f t="shared" ca="1" si="13"/>
        <v>-0.14072612647291841</v>
      </c>
      <c r="G128">
        <f t="shared" ca="1" si="14"/>
        <v>35.18153161822972</v>
      </c>
      <c r="H128">
        <f t="shared" ca="1" si="15"/>
        <v>35.040805491756799</v>
      </c>
    </row>
    <row r="129" spans="1:8" x14ac:dyDescent="0.3">
      <c r="A129" s="1">
        <v>45411</v>
      </c>
      <c r="B129" s="2">
        <f t="shared" si="9"/>
        <v>119</v>
      </c>
      <c r="C129">
        <f t="shared" ca="1" si="10"/>
        <v>0.87</v>
      </c>
      <c r="D129">
        <f t="shared" ca="1" si="11"/>
        <v>17.399999999999999</v>
      </c>
      <c r="E129">
        <f t="shared" ca="1" si="12"/>
        <v>-2.6000000000000014</v>
      </c>
      <c r="F129">
        <f t="shared" ca="1" si="13"/>
        <v>-0.91106094278567729</v>
      </c>
      <c r="G129">
        <f t="shared" ca="1" si="14"/>
        <v>35.040805491756799</v>
      </c>
      <c r="H129">
        <f t="shared" ca="1" si="15"/>
        <v>34.129744548971125</v>
      </c>
    </row>
    <row r="130" spans="1:8" x14ac:dyDescent="0.3">
      <c r="A130" s="1">
        <v>45412</v>
      </c>
      <c r="B130" s="2">
        <f t="shared" si="9"/>
        <v>120</v>
      </c>
      <c r="C130">
        <f t="shared" ca="1" si="10"/>
        <v>0.2</v>
      </c>
      <c r="D130">
        <f t="shared" ca="1" si="11"/>
        <v>4</v>
      </c>
      <c r="E130">
        <f t="shared" ca="1" si="12"/>
        <v>4</v>
      </c>
      <c r="F130">
        <f t="shared" ca="1" si="13"/>
        <v>1.365189781958845</v>
      </c>
      <c r="G130">
        <f t="shared" ca="1" si="14"/>
        <v>34.129744548971125</v>
      </c>
      <c r="H130">
        <f t="shared" ca="1" si="15"/>
        <v>35.494934330929972</v>
      </c>
    </row>
    <row r="131" spans="1:8" x14ac:dyDescent="0.3">
      <c r="A131" s="1">
        <v>45413</v>
      </c>
      <c r="B131" s="2">
        <f t="shared" si="9"/>
        <v>121</v>
      </c>
      <c r="C131">
        <f t="shared" ca="1" si="10"/>
        <v>0.4</v>
      </c>
      <c r="D131">
        <f t="shared" ca="1" si="11"/>
        <v>8</v>
      </c>
      <c r="E131">
        <f t="shared" ca="1" si="12"/>
        <v>8</v>
      </c>
      <c r="F131">
        <f t="shared" ca="1" si="13"/>
        <v>2.8395947464743978</v>
      </c>
      <c r="G131">
        <f t="shared" ca="1" si="14"/>
        <v>35.494934330929972</v>
      </c>
      <c r="H131">
        <f t="shared" ca="1" si="15"/>
        <v>38.334529077404369</v>
      </c>
    </row>
    <row r="132" spans="1:8" x14ac:dyDescent="0.3">
      <c r="A132" s="1">
        <v>45414</v>
      </c>
      <c r="B132" s="2">
        <f t="shared" si="9"/>
        <v>122</v>
      </c>
      <c r="C132">
        <f t="shared" ca="1" si="10"/>
        <v>0.5</v>
      </c>
      <c r="D132">
        <f t="shared" ca="1" si="11"/>
        <v>10</v>
      </c>
      <c r="E132">
        <f t="shared" ca="1" si="12"/>
        <v>10</v>
      </c>
      <c r="F132">
        <f t="shared" ca="1" si="13"/>
        <v>3.8334529077404369</v>
      </c>
      <c r="G132">
        <f t="shared" ca="1" si="14"/>
        <v>38.334529077404369</v>
      </c>
      <c r="H132">
        <f t="shared" ca="1" si="15"/>
        <v>42.167981985144806</v>
      </c>
    </row>
    <row r="133" spans="1:8" x14ac:dyDescent="0.3">
      <c r="A133" s="1">
        <v>45415</v>
      </c>
      <c r="B133" s="2">
        <f t="shared" si="9"/>
        <v>123</v>
      </c>
      <c r="C133">
        <f t="shared" ca="1" si="10"/>
        <v>0.03</v>
      </c>
      <c r="D133">
        <f t="shared" ca="1" si="11"/>
        <v>0.6</v>
      </c>
      <c r="E133">
        <f t="shared" ca="1" si="12"/>
        <v>0.6</v>
      </c>
      <c r="F133">
        <f t="shared" ca="1" si="13"/>
        <v>0.25300789191086887</v>
      </c>
      <c r="G133">
        <f t="shared" ca="1" si="14"/>
        <v>42.167981985144806</v>
      </c>
      <c r="H133">
        <f t="shared" ca="1" si="15"/>
        <v>42.420989877055675</v>
      </c>
    </row>
    <row r="134" spans="1:8" x14ac:dyDescent="0.3">
      <c r="A134" s="1">
        <v>45416</v>
      </c>
      <c r="B134" s="2">
        <f t="shared" si="9"/>
        <v>124</v>
      </c>
      <c r="C134">
        <f t="shared" ca="1" si="10"/>
        <v>0.91</v>
      </c>
      <c r="D134">
        <f t="shared" ca="1" si="11"/>
        <v>18.2</v>
      </c>
      <c r="E134">
        <f t="shared" ca="1" si="12"/>
        <v>-1.8000000000000007</v>
      </c>
      <c r="F134">
        <f t="shared" ca="1" si="13"/>
        <v>-0.7635778177870024</v>
      </c>
      <c r="G134">
        <f t="shared" ca="1" si="14"/>
        <v>42.420989877055675</v>
      </c>
      <c r="H134">
        <f t="shared" ca="1" si="15"/>
        <v>41.657412059268673</v>
      </c>
    </row>
    <row r="135" spans="1:8" x14ac:dyDescent="0.3">
      <c r="A135" s="1">
        <v>45417</v>
      </c>
      <c r="B135" s="2">
        <f t="shared" si="9"/>
        <v>125</v>
      </c>
      <c r="C135">
        <f t="shared" ca="1" si="10"/>
        <v>0.17</v>
      </c>
      <c r="D135">
        <f t="shared" ca="1" si="11"/>
        <v>3.4000000000000004</v>
      </c>
      <c r="E135">
        <f t="shared" ca="1" si="12"/>
        <v>3.4000000000000004</v>
      </c>
      <c r="F135">
        <f t="shared" ca="1" si="13"/>
        <v>1.416352010015135</v>
      </c>
      <c r="G135">
        <f t="shared" ca="1" si="14"/>
        <v>41.657412059268673</v>
      </c>
      <c r="H135">
        <f t="shared" ca="1" si="15"/>
        <v>43.073764069283804</v>
      </c>
    </row>
    <row r="136" spans="1:8" x14ac:dyDescent="0.3">
      <c r="A136" s="1">
        <v>45418</v>
      </c>
      <c r="B136" s="2">
        <f t="shared" si="9"/>
        <v>126</v>
      </c>
      <c r="C136">
        <f t="shared" ca="1" si="10"/>
        <v>0.96</v>
      </c>
      <c r="D136">
        <f t="shared" ca="1" si="11"/>
        <v>19.2</v>
      </c>
      <c r="E136">
        <f t="shared" ca="1" si="12"/>
        <v>-0.80000000000000071</v>
      </c>
      <c r="F136">
        <f t="shared" ca="1" si="13"/>
        <v>-0.34459011255427074</v>
      </c>
      <c r="G136">
        <f t="shared" ca="1" si="14"/>
        <v>43.073764069283804</v>
      </c>
      <c r="H136">
        <f t="shared" ca="1" si="15"/>
        <v>42.729173956729532</v>
      </c>
    </row>
    <row r="137" spans="1:8" x14ac:dyDescent="0.3">
      <c r="A137" s="1">
        <v>45419</v>
      </c>
      <c r="B137" s="2">
        <f t="shared" si="9"/>
        <v>127</v>
      </c>
      <c r="C137">
        <f t="shared" ca="1" si="10"/>
        <v>0.95</v>
      </c>
      <c r="D137">
        <f t="shared" ca="1" si="11"/>
        <v>19</v>
      </c>
      <c r="E137">
        <f t="shared" ca="1" si="12"/>
        <v>-1</v>
      </c>
      <c r="F137">
        <f t="shared" ca="1" si="13"/>
        <v>-0.42729173956729533</v>
      </c>
      <c r="G137">
        <f t="shared" ca="1" si="14"/>
        <v>42.729173956729532</v>
      </c>
      <c r="H137">
        <f t="shared" ca="1" si="15"/>
        <v>42.301882217162238</v>
      </c>
    </row>
    <row r="138" spans="1:8" x14ac:dyDescent="0.3">
      <c r="A138" s="1">
        <v>45420</v>
      </c>
      <c r="B138" s="2">
        <f t="shared" si="9"/>
        <v>128</v>
      </c>
      <c r="C138">
        <f t="shared" ca="1" si="10"/>
        <v>0.67</v>
      </c>
      <c r="D138">
        <f t="shared" ca="1" si="11"/>
        <v>13.4</v>
      </c>
      <c r="E138">
        <f t="shared" ca="1" si="12"/>
        <v>-6.6</v>
      </c>
      <c r="F138">
        <f t="shared" ca="1" si="13"/>
        <v>-2.791924226332708</v>
      </c>
      <c r="G138">
        <f t="shared" ca="1" si="14"/>
        <v>42.301882217162238</v>
      </c>
      <c r="H138">
        <f t="shared" ca="1" si="15"/>
        <v>39.509957990829527</v>
      </c>
    </row>
    <row r="139" spans="1:8" x14ac:dyDescent="0.3">
      <c r="A139" s="1">
        <v>45421</v>
      </c>
      <c r="B139" s="2">
        <f t="shared" ref="B139:B191" si="16">A139-$A$10</f>
        <v>129</v>
      </c>
      <c r="C139">
        <f t="shared" ref="C139:C191" ca="1" si="17">ROUND(RAND(),2)</f>
        <v>0.47</v>
      </c>
      <c r="D139">
        <f t="shared" ref="D139:D191" ca="1" si="18">$B$6*$B$5*C139</f>
        <v>9.3999999999999986</v>
      </c>
      <c r="E139">
        <f t="shared" ref="E139:E191" ca="1" si="19">IF(D139&gt;$B$5,D139-(2*$B$5),D139)</f>
        <v>9.3999999999999986</v>
      </c>
      <c r="F139">
        <f t="shared" ref="F139:F191" ca="1" si="20">G139*(E139/100)</f>
        <v>3.7139360511379751</v>
      </c>
      <c r="G139">
        <f t="shared" ca="1" si="14"/>
        <v>39.509957990829527</v>
      </c>
      <c r="H139">
        <f t="shared" ca="1" si="15"/>
        <v>43.223894041967505</v>
      </c>
    </row>
    <row r="140" spans="1:8" x14ac:dyDescent="0.3">
      <c r="A140" s="1">
        <v>45422</v>
      </c>
      <c r="B140" s="2">
        <f t="shared" si="16"/>
        <v>130</v>
      </c>
      <c r="C140">
        <f t="shared" ca="1" si="17"/>
        <v>0.28999999999999998</v>
      </c>
      <c r="D140">
        <f t="shared" ca="1" si="18"/>
        <v>5.8</v>
      </c>
      <c r="E140">
        <f t="shared" ca="1" si="19"/>
        <v>5.8</v>
      </c>
      <c r="F140">
        <f t="shared" ca="1" si="20"/>
        <v>2.5069858544341153</v>
      </c>
      <c r="G140">
        <f t="shared" ref="G140:G191" ca="1" si="21">H139</f>
        <v>43.223894041967505</v>
      </c>
      <c r="H140">
        <f t="shared" ca="1" si="15"/>
        <v>45.730879896401618</v>
      </c>
    </row>
    <row r="141" spans="1:8" x14ac:dyDescent="0.3">
      <c r="A141" s="1">
        <v>45423</v>
      </c>
      <c r="B141" s="2">
        <f t="shared" si="16"/>
        <v>131</v>
      </c>
      <c r="C141">
        <f t="shared" ca="1" si="17"/>
        <v>0.33</v>
      </c>
      <c r="D141">
        <f t="shared" ca="1" si="18"/>
        <v>6.6000000000000005</v>
      </c>
      <c r="E141">
        <f t="shared" ca="1" si="19"/>
        <v>6.6000000000000005</v>
      </c>
      <c r="F141">
        <f t="shared" ca="1" si="20"/>
        <v>3.0182380731625069</v>
      </c>
      <c r="G141">
        <f t="shared" ca="1" si="21"/>
        <v>45.730879896401618</v>
      </c>
      <c r="H141">
        <f t="shared" ca="1" si="15"/>
        <v>48.749117969564125</v>
      </c>
    </row>
    <row r="142" spans="1:8" x14ac:dyDescent="0.3">
      <c r="A142" s="1">
        <v>45424</v>
      </c>
      <c r="B142" s="2">
        <f t="shared" si="16"/>
        <v>132</v>
      </c>
      <c r="C142">
        <f t="shared" ca="1" si="17"/>
        <v>0.24</v>
      </c>
      <c r="D142">
        <f t="shared" ca="1" si="18"/>
        <v>4.8</v>
      </c>
      <c r="E142">
        <f t="shared" ca="1" si="19"/>
        <v>4.8</v>
      </c>
      <c r="F142">
        <f t="shared" ca="1" si="20"/>
        <v>2.3399576625390779</v>
      </c>
      <c r="G142">
        <f t="shared" ca="1" si="21"/>
        <v>48.749117969564125</v>
      </c>
      <c r="H142">
        <f t="shared" ca="1" si="15"/>
        <v>51.089075632103203</v>
      </c>
    </row>
    <row r="143" spans="1:8" x14ac:dyDescent="0.3">
      <c r="A143" s="1">
        <v>45425</v>
      </c>
      <c r="B143" s="2">
        <f t="shared" si="16"/>
        <v>133</v>
      </c>
      <c r="C143">
        <f t="shared" ca="1" si="17"/>
        <v>0.54</v>
      </c>
      <c r="D143">
        <f t="shared" ca="1" si="18"/>
        <v>10.8</v>
      </c>
      <c r="E143">
        <f t="shared" ca="1" si="19"/>
        <v>-9.1999999999999993</v>
      </c>
      <c r="F143">
        <f t="shared" ca="1" si="20"/>
        <v>-4.700194958153495</v>
      </c>
      <c r="G143">
        <f t="shared" ca="1" si="21"/>
        <v>51.089075632103203</v>
      </c>
      <c r="H143">
        <f t="shared" ca="1" si="15"/>
        <v>46.388880673949707</v>
      </c>
    </row>
    <row r="144" spans="1:8" x14ac:dyDescent="0.3">
      <c r="A144" s="1">
        <v>45426</v>
      </c>
      <c r="B144" s="2">
        <f t="shared" si="16"/>
        <v>134</v>
      </c>
      <c r="C144">
        <f t="shared" ca="1" si="17"/>
        <v>0.19</v>
      </c>
      <c r="D144">
        <f t="shared" ca="1" si="18"/>
        <v>3.8</v>
      </c>
      <c r="E144">
        <f t="shared" ca="1" si="19"/>
        <v>3.8</v>
      </c>
      <c r="F144">
        <f t="shared" ca="1" si="20"/>
        <v>1.7627774656100887</v>
      </c>
      <c r="G144">
        <f t="shared" ca="1" si="21"/>
        <v>46.388880673949707</v>
      </c>
      <c r="H144">
        <f t="shared" ca="1" si="15"/>
        <v>48.151658139559792</v>
      </c>
    </row>
    <row r="145" spans="1:8" x14ac:dyDescent="0.3">
      <c r="A145" s="1">
        <v>45427</v>
      </c>
      <c r="B145" s="2">
        <f t="shared" si="16"/>
        <v>135</v>
      </c>
      <c r="C145">
        <f t="shared" ca="1" si="17"/>
        <v>0.22</v>
      </c>
      <c r="D145">
        <f t="shared" ca="1" si="18"/>
        <v>4.4000000000000004</v>
      </c>
      <c r="E145">
        <f t="shared" ca="1" si="19"/>
        <v>4.4000000000000004</v>
      </c>
      <c r="F145">
        <f t="shared" ca="1" si="20"/>
        <v>2.1186729581406309</v>
      </c>
      <c r="G145">
        <f t="shared" ca="1" si="21"/>
        <v>48.151658139559792</v>
      </c>
      <c r="H145">
        <f t="shared" ca="1" si="15"/>
        <v>50.270331097700421</v>
      </c>
    </row>
    <row r="146" spans="1:8" x14ac:dyDescent="0.3">
      <c r="A146" s="1">
        <v>45428</v>
      </c>
      <c r="B146" s="2">
        <f t="shared" si="16"/>
        <v>136</v>
      </c>
      <c r="C146">
        <f t="shared" ca="1" si="17"/>
        <v>0.11</v>
      </c>
      <c r="D146">
        <f t="shared" ca="1" si="18"/>
        <v>2.2000000000000002</v>
      </c>
      <c r="E146">
        <f t="shared" ca="1" si="19"/>
        <v>2.2000000000000002</v>
      </c>
      <c r="F146">
        <f t="shared" ca="1" si="20"/>
        <v>1.1059472841494093</v>
      </c>
      <c r="G146">
        <f t="shared" ca="1" si="21"/>
        <v>50.270331097700421</v>
      </c>
      <c r="H146">
        <f t="shared" ca="1" si="15"/>
        <v>51.376278381849829</v>
      </c>
    </row>
    <row r="147" spans="1:8" x14ac:dyDescent="0.3">
      <c r="A147" s="1">
        <v>45429</v>
      </c>
      <c r="B147" s="2">
        <f t="shared" si="16"/>
        <v>137</v>
      </c>
      <c r="C147">
        <f t="shared" ca="1" si="17"/>
        <v>0.12</v>
      </c>
      <c r="D147">
        <f t="shared" ca="1" si="18"/>
        <v>2.4</v>
      </c>
      <c r="E147">
        <f t="shared" ca="1" si="19"/>
        <v>2.4</v>
      </c>
      <c r="F147">
        <f t="shared" ca="1" si="20"/>
        <v>1.2330306811643958</v>
      </c>
      <c r="G147">
        <f t="shared" ca="1" si="21"/>
        <v>51.376278381849829</v>
      </c>
      <c r="H147">
        <f t="shared" ca="1" si="15"/>
        <v>52.609309063014223</v>
      </c>
    </row>
    <row r="148" spans="1:8" x14ac:dyDescent="0.3">
      <c r="A148" s="1">
        <v>45430</v>
      </c>
      <c r="B148" s="2">
        <f t="shared" si="16"/>
        <v>138</v>
      </c>
      <c r="C148">
        <f t="shared" ca="1" si="17"/>
        <v>0.65</v>
      </c>
      <c r="D148">
        <f t="shared" ca="1" si="18"/>
        <v>13</v>
      </c>
      <c r="E148">
        <f t="shared" ca="1" si="19"/>
        <v>-7</v>
      </c>
      <c r="F148">
        <f t="shared" ca="1" si="20"/>
        <v>-3.6826516344109961</v>
      </c>
      <c r="G148">
        <f t="shared" ca="1" si="21"/>
        <v>52.609309063014223</v>
      </c>
      <c r="H148">
        <f t="shared" ca="1" si="15"/>
        <v>48.926657428603228</v>
      </c>
    </row>
    <row r="149" spans="1:8" x14ac:dyDescent="0.3">
      <c r="A149" s="1">
        <v>45431</v>
      </c>
      <c r="B149" s="2">
        <f t="shared" si="16"/>
        <v>139</v>
      </c>
      <c r="C149">
        <f t="shared" ca="1" si="17"/>
        <v>0.5</v>
      </c>
      <c r="D149">
        <f t="shared" ca="1" si="18"/>
        <v>10</v>
      </c>
      <c r="E149">
        <f t="shared" ca="1" si="19"/>
        <v>10</v>
      </c>
      <c r="F149">
        <f t="shared" ca="1" si="20"/>
        <v>4.8926657428603235</v>
      </c>
      <c r="G149">
        <f t="shared" ca="1" si="21"/>
        <v>48.926657428603228</v>
      </c>
      <c r="H149">
        <f t="shared" ca="1" si="15"/>
        <v>53.819323171463552</v>
      </c>
    </row>
    <row r="150" spans="1:8" x14ac:dyDescent="0.3">
      <c r="A150" s="1">
        <v>45432</v>
      </c>
      <c r="B150" s="2">
        <f t="shared" si="16"/>
        <v>140</v>
      </c>
      <c r="C150">
        <f t="shared" ca="1" si="17"/>
        <v>0.3</v>
      </c>
      <c r="D150">
        <f t="shared" ca="1" si="18"/>
        <v>6</v>
      </c>
      <c r="E150">
        <f t="shared" ca="1" si="19"/>
        <v>6</v>
      </c>
      <c r="F150">
        <f t="shared" ca="1" si="20"/>
        <v>3.2291593902878128</v>
      </c>
      <c r="G150">
        <f t="shared" ca="1" si="21"/>
        <v>53.819323171463552</v>
      </c>
      <c r="H150">
        <f t="shared" ca="1" si="15"/>
        <v>57.048482561751364</v>
      </c>
    </row>
    <row r="151" spans="1:8" x14ac:dyDescent="0.3">
      <c r="A151" s="1">
        <v>45433</v>
      </c>
      <c r="B151" s="2">
        <f t="shared" si="16"/>
        <v>141</v>
      </c>
      <c r="C151">
        <f t="shared" ca="1" si="17"/>
        <v>0.66</v>
      </c>
      <c r="D151">
        <f t="shared" ca="1" si="18"/>
        <v>13.200000000000001</v>
      </c>
      <c r="E151">
        <f t="shared" ca="1" si="19"/>
        <v>-6.7999999999999989</v>
      </c>
      <c r="F151">
        <f t="shared" ca="1" si="20"/>
        <v>-3.8792968141990922</v>
      </c>
      <c r="G151">
        <f t="shared" ca="1" si="21"/>
        <v>57.048482561751364</v>
      </c>
      <c r="H151">
        <f t="shared" ca="1" si="15"/>
        <v>53.16918574755227</v>
      </c>
    </row>
    <row r="152" spans="1:8" x14ac:dyDescent="0.3">
      <c r="A152" s="1">
        <v>45434</v>
      </c>
      <c r="B152" s="2">
        <f t="shared" si="16"/>
        <v>142</v>
      </c>
      <c r="C152">
        <f t="shared" ca="1" si="17"/>
        <v>0.82</v>
      </c>
      <c r="D152">
        <f t="shared" ca="1" si="18"/>
        <v>16.399999999999999</v>
      </c>
      <c r="E152">
        <f t="shared" ca="1" si="19"/>
        <v>-3.6000000000000014</v>
      </c>
      <c r="F152">
        <f t="shared" ca="1" si="20"/>
        <v>-1.9140906869118823</v>
      </c>
      <c r="G152">
        <f t="shared" ca="1" si="21"/>
        <v>53.16918574755227</v>
      </c>
      <c r="H152">
        <f t="shared" ca="1" si="15"/>
        <v>51.255095060640386</v>
      </c>
    </row>
    <row r="153" spans="1:8" x14ac:dyDescent="0.3">
      <c r="A153" s="1">
        <v>45435</v>
      </c>
      <c r="B153" s="2">
        <f t="shared" si="16"/>
        <v>143</v>
      </c>
      <c r="C153">
        <f t="shared" ca="1" si="17"/>
        <v>0.36</v>
      </c>
      <c r="D153">
        <f t="shared" ca="1" si="18"/>
        <v>7.1999999999999993</v>
      </c>
      <c r="E153">
        <f t="shared" ca="1" si="19"/>
        <v>7.1999999999999993</v>
      </c>
      <c r="F153">
        <f t="shared" ca="1" si="20"/>
        <v>3.6903668443661073</v>
      </c>
      <c r="G153">
        <f t="shared" ca="1" si="21"/>
        <v>51.255095060640386</v>
      </c>
      <c r="H153">
        <f t="shared" ca="1" si="15"/>
        <v>54.945461905006496</v>
      </c>
    </row>
    <row r="154" spans="1:8" x14ac:dyDescent="0.3">
      <c r="A154" s="1">
        <v>45436</v>
      </c>
      <c r="B154" s="2">
        <f t="shared" si="16"/>
        <v>144</v>
      </c>
      <c r="C154">
        <f t="shared" ca="1" si="17"/>
        <v>0.28999999999999998</v>
      </c>
      <c r="D154">
        <f t="shared" ca="1" si="18"/>
        <v>5.8</v>
      </c>
      <c r="E154">
        <f t="shared" ca="1" si="19"/>
        <v>5.8</v>
      </c>
      <c r="F154">
        <f t="shared" ca="1" si="20"/>
        <v>3.1868367904903767</v>
      </c>
      <c r="G154">
        <f t="shared" ca="1" si="21"/>
        <v>54.945461905006496</v>
      </c>
      <c r="H154">
        <f t="shared" ca="1" si="15"/>
        <v>58.132298695496871</v>
      </c>
    </row>
    <row r="155" spans="1:8" x14ac:dyDescent="0.3">
      <c r="A155" s="1">
        <v>45437</v>
      </c>
      <c r="B155" s="2">
        <f t="shared" si="16"/>
        <v>145</v>
      </c>
      <c r="C155">
        <f t="shared" ca="1" si="17"/>
        <v>0.34</v>
      </c>
      <c r="D155">
        <f t="shared" ca="1" si="18"/>
        <v>6.8000000000000007</v>
      </c>
      <c r="E155">
        <f t="shared" ca="1" si="19"/>
        <v>6.8000000000000007</v>
      </c>
      <c r="F155">
        <f t="shared" ca="1" si="20"/>
        <v>3.9529963112937874</v>
      </c>
      <c r="G155">
        <f t="shared" ca="1" si="21"/>
        <v>58.132298695496871</v>
      </c>
      <c r="H155">
        <f t="shared" ca="1" si="15"/>
        <v>62.085295006790659</v>
      </c>
    </row>
    <row r="156" spans="1:8" x14ac:dyDescent="0.3">
      <c r="A156" s="1">
        <v>45438</v>
      </c>
      <c r="B156" s="2">
        <f t="shared" si="16"/>
        <v>146</v>
      </c>
      <c r="C156">
        <f t="shared" ca="1" si="17"/>
        <v>0.77</v>
      </c>
      <c r="D156">
        <f t="shared" ca="1" si="18"/>
        <v>15.4</v>
      </c>
      <c r="E156">
        <f t="shared" ca="1" si="19"/>
        <v>-4.5999999999999996</v>
      </c>
      <c r="F156">
        <f t="shared" ca="1" si="20"/>
        <v>-2.8559235703123704</v>
      </c>
      <c r="G156">
        <f t="shared" ca="1" si="21"/>
        <v>62.085295006790659</v>
      </c>
      <c r="H156">
        <f t="shared" ca="1" si="15"/>
        <v>59.229371436478289</v>
      </c>
    </row>
    <row r="157" spans="1:8" x14ac:dyDescent="0.3">
      <c r="A157" s="1">
        <v>45439</v>
      </c>
      <c r="B157" s="2">
        <f t="shared" si="16"/>
        <v>147</v>
      </c>
      <c r="C157">
        <f t="shared" ca="1" si="17"/>
        <v>0.02</v>
      </c>
      <c r="D157">
        <f t="shared" ca="1" si="18"/>
        <v>0.4</v>
      </c>
      <c r="E157">
        <f t="shared" ca="1" si="19"/>
        <v>0.4</v>
      </c>
      <c r="F157">
        <f t="shared" ca="1" si="20"/>
        <v>0.23691748574591315</v>
      </c>
      <c r="G157">
        <f t="shared" ca="1" si="21"/>
        <v>59.229371436478289</v>
      </c>
      <c r="H157">
        <f t="shared" ca="1" si="15"/>
        <v>59.466288922224201</v>
      </c>
    </row>
    <row r="158" spans="1:8" x14ac:dyDescent="0.3">
      <c r="A158" s="1">
        <v>45440</v>
      </c>
      <c r="B158" s="2">
        <f t="shared" si="16"/>
        <v>148</v>
      </c>
      <c r="C158">
        <f t="shared" ca="1" si="17"/>
        <v>0.33</v>
      </c>
      <c r="D158">
        <f t="shared" ca="1" si="18"/>
        <v>6.6000000000000005</v>
      </c>
      <c r="E158">
        <f t="shared" ca="1" si="19"/>
        <v>6.6000000000000005</v>
      </c>
      <c r="F158">
        <f t="shared" ca="1" si="20"/>
        <v>3.9247750688667975</v>
      </c>
      <c r="G158">
        <f t="shared" ca="1" si="21"/>
        <v>59.466288922224201</v>
      </c>
      <c r="H158">
        <f t="shared" ca="1" si="15"/>
        <v>63.391063991091002</v>
      </c>
    </row>
    <row r="159" spans="1:8" x14ac:dyDescent="0.3">
      <c r="A159" s="1">
        <v>45441</v>
      </c>
      <c r="B159" s="2">
        <f t="shared" si="16"/>
        <v>149</v>
      </c>
      <c r="C159">
        <f t="shared" ca="1" si="17"/>
        <v>0.83</v>
      </c>
      <c r="D159">
        <f t="shared" ca="1" si="18"/>
        <v>16.599999999999998</v>
      </c>
      <c r="E159">
        <f t="shared" ca="1" si="19"/>
        <v>-3.4000000000000021</v>
      </c>
      <c r="F159">
        <f t="shared" ca="1" si="20"/>
        <v>-2.1552961756970954</v>
      </c>
      <c r="G159">
        <f t="shared" ca="1" si="21"/>
        <v>63.391063991091002</v>
      </c>
      <c r="H159">
        <f t="shared" ca="1" si="15"/>
        <v>61.235767815393906</v>
      </c>
    </row>
    <row r="160" spans="1:8" x14ac:dyDescent="0.3">
      <c r="A160" s="1">
        <v>45442</v>
      </c>
      <c r="B160" s="2">
        <f t="shared" si="16"/>
        <v>150</v>
      </c>
      <c r="C160">
        <f t="shared" ca="1" si="17"/>
        <v>0.94</v>
      </c>
      <c r="D160">
        <f t="shared" ca="1" si="18"/>
        <v>18.799999999999997</v>
      </c>
      <c r="E160">
        <f t="shared" ca="1" si="19"/>
        <v>-1.2000000000000028</v>
      </c>
      <c r="F160">
        <f t="shared" ca="1" si="20"/>
        <v>-0.73482921378472854</v>
      </c>
      <c r="G160">
        <f t="shared" ca="1" si="21"/>
        <v>61.235767815393906</v>
      </c>
      <c r="H160">
        <f t="shared" ca="1" si="15"/>
        <v>60.500938601609178</v>
      </c>
    </row>
    <row r="161" spans="1:8" x14ac:dyDescent="0.3">
      <c r="A161" s="1">
        <v>45443</v>
      </c>
      <c r="B161" s="2">
        <f t="shared" si="16"/>
        <v>151</v>
      </c>
      <c r="C161">
        <f t="shared" ca="1" si="17"/>
        <v>0.31</v>
      </c>
      <c r="D161">
        <f t="shared" ca="1" si="18"/>
        <v>6.2</v>
      </c>
      <c r="E161">
        <f t="shared" ca="1" si="19"/>
        <v>6.2</v>
      </c>
      <c r="F161">
        <f t="shared" ca="1" si="20"/>
        <v>3.7510581932997691</v>
      </c>
      <c r="G161">
        <f t="shared" ca="1" si="21"/>
        <v>60.500938601609178</v>
      </c>
      <c r="H161">
        <f t="shared" ca="1" si="15"/>
        <v>64.251996794908948</v>
      </c>
    </row>
    <row r="162" spans="1:8" x14ac:dyDescent="0.3">
      <c r="A162" s="1">
        <v>45444</v>
      </c>
      <c r="B162" s="2">
        <f t="shared" si="16"/>
        <v>152</v>
      </c>
      <c r="C162">
        <f t="shared" ca="1" si="17"/>
        <v>0.06</v>
      </c>
      <c r="D162">
        <f t="shared" ca="1" si="18"/>
        <v>1.2</v>
      </c>
      <c r="E162">
        <f t="shared" ca="1" si="19"/>
        <v>1.2</v>
      </c>
      <c r="F162">
        <f t="shared" ca="1" si="20"/>
        <v>0.7710239615389074</v>
      </c>
      <c r="G162">
        <f t="shared" ca="1" si="21"/>
        <v>64.251996794908948</v>
      </c>
      <c r="H162">
        <f t="shared" ca="1" si="15"/>
        <v>65.023020756447849</v>
      </c>
    </row>
    <row r="163" spans="1:8" x14ac:dyDescent="0.3">
      <c r="A163" s="1">
        <v>45445</v>
      </c>
      <c r="B163" s="2">
        <f t="shared" si="16"/>
        <v>153</v>
      </c>
      <c r="C163">
        <f t="shared" ca="1" si="17"/>
        <v>0.42</v>
      </c>
      <c r="D163">
        <f t="shared" ca="1" si="18"/>
        <v>8.4</v>
      </c>
      <c r="E163">
        <f t="shared" ca="1" si="19"/>
        <v>8.4</v>
      </c>
      <c r="F163">
        <f t="shared" ca="1" si="20"/>
        <v>5.4619337435416195</v>
      </c>
      <c r="G163">
        <f t="shared" ca="1" si="21"/>
        <v>65.023020756447849</v>
      </c>
      <c r="H163">
        <f t="shared" ca="1" si="15"/>
        <v>70.48495449998947</v>
      </c>
    </row>
    <row r="164" spans="1:8" x14ac:dyDescent="0.3">
      <c r="A164" s="1">
        <v>45446</v>
      </c>
      <c r="B164" s="2">
        <f t="shared" si="16"/>
        <v>154</v>
      </c>
      <c r="C164">
        <f t="shared" ca="1" si="17"/>
        <v>0.98</v>
      </c>
      <c r="D164">
        <f t="shared" ca="1" si="18"/>
        <v>19.600000000000001</v>
      </c>
      <c r="E164">
        <f t="shared" ca="1" si="19"/>
        <v>-0.39999999999999858</v>
      </c>
      <c r="F164">
        <f t="shared" ca="1" si="20"/>
        <v>-0.28193981799995693</v>
      </c>
      <c r="G164">
        <f t="shared" ca="1" si="21"/>
        <v>70.48495449998947</v>
      </c>
      <c r="H164">
        <f t="shared" ca="1" si="15"/>
        <v>70.203014681989515</v>
      </c>
    </row>
    <row r="165" spans="1:8" x14ac:dyDescent="0.3">
      <c r="A165" s="1">
        <v>45447</v>
      </c>
      <c r="B165" s="2">
        <f t="shared" si="16"/>
        <v>155</v>
      </c>
      <c r="C165">
        <f t="shared" ca="1" si="17"/>
        <v>0.23</v>
      </c>
      <c r="D165">
        <f t="shared" ca="1" si="18"/>
        <v>4.6000000000000005</v>
      </c>
      <c r="E165">
        <f t="shared" ca="1" si="19"/>
        <v>4.6000000000000005</v>
      </c>
      <c r="F165">
        <f t="shared" ca="1" si="20"/>
        <v>3.2293386753715181</v>
      </c>
      <c r="G165">
        <f t="shared" ca="1" si="21"/>
        <v>70.203014681989515</v>
      </c>
      <c r="H165">
        <f t="shared" ca="1" si="15"/>
        <v>73.432353357361038</v>
      </c>
    </row>
    <row r="166" spans="1:8" x14ac:dyDescent="0.3">
      <c r="A166" s="1">
        <v>45448</v>
      </c>
      <c r="B166" s="2">
        <f t="shared" si="16"/>
        <v>156</v>
      </c>
      <c r="C166">
        <f t="shared" ca="1" si="17"/>
        <v>0.83</v>
      </c>
      <c r="D166">
        <f t="shared" ca="1" si="18"/>
        <v>16.599999999999998</v>
      </c>
      <c r="E166">
        <f t="shared" ca="1" si="19"/>
        <v>-3.4000000000000021</v>
      </c>
      <c r="F166">
        <f t="shared" ca="1" si="20"/>
        <v>-2.4967000141502771</v>
      </c>
      <c r="G166">
        <f t="shared" ca="1" si="21"/>
        <v>73.432353357361038</v>
      </c>
      <c r="H166">
        <f t="shared" ca="1" si="15"/>
        <v>70.93565334321076</v>
      </c>
    </row>
    <row r="167" spans="1:8" x14ac:dyDescent="0.3">
      <c r="A167" s="1">
        <v>45449</v>
      </c>
      <c r="B167" s="2">
        <f t="shared" si="16"/>
        <v>157</v>
      </c>
      <c r="C167">
        <f t="shared" ca="1" si="17"/>
        <v>0.42</v>
      </c>
      <c r="D167">
        <f t="shared" ca="1" si="18"/>
        <v>8.4</v>
      </c>
      <c r="E167">
        <f t="shared" ca="1" si="19"/>
        <v>8.4</v>
      </c>
      <c r="F167">
        <f t="shared" ca="1" si="20"/>
        <v>5.958594880829704</v>
      </c>
      <c r="G167">
        <f t="shared" ca="1" si="21"/>
        <v>70.93565334321076</v>
      </c>
      <c r="H167">
        <f t="shared" ca="1" si="15"/>
        <v>76.894248224040467</v>
      </c>
    </row>
    <row r="168" spans="1:8" x14ac:dyDescent="0.3">
      <c r="A168" s="1">
        <v>45450</v>
      </c>
      <c r="B168" s="2">
        <f t="shared" si="16"/>
        <v>158</v>
      </c>
      <c r="C168">
        <f t="shared" ca="1" si="17"/>
        <v>0.49</v>
      </c>
      <c r="D168">
        <f t="shared" ca="1" si="18"/>
        <v>9.8000000000000007</v>
      </c>
      <c r="E168">
        <f t="shared" ca="1" si="19"/>
        <v>9.8000000000000007</v>
      </c>
      <c r="F168">
        <f t="shared" ca="1" si="20"/>
        <v>7.5356363259559664</v>
      </c>
      <c r="G168">
        <f t="shared" ca="1" si="21"/>
        <v>76.894248224040467</v>
      </c>
      <c r="H168">
        <f t="shared" ca="1" si="15"/>
        <v>84.42988454999643</v>
      </c>
    </row>
    <row r="169" spans="1:8" x14ac:dyDescent="0.3">
      <c r="A169" s="1">
        <v>45451</v>
      </c>
      <c r="B169" s="2">
        <f t="shared" si="16"/>
        <v>159</v>
      </c>
      <c r="C169">
        <f t="shared" ca="1" si="17"/>
        <v>0.35</v>
      </c>
      <c r="D169">
        <f t="shared" ca="1" si="18"/>
        <v>7</v>
      </c>
      <c r="E169">
        <f t="shared" ca="1" si="19"/>
        <v>7</v>
      </c>
      <c r="F169">
        <f t="shared" ca="1" si="20"/>
        <v>5.9100919184997505</v>
      </c>
      <c r="G169">
        <f t="shared" ca="1" si="21"/>
        <v>84.42988454999643</v>
      </c>
      <c r="H169">
        <f t="shared" ca="1" si="15"/>
        <v>90.339976468496175</v>
      </c>
    </row>
    <row r="170" spans="1:8" x14ac:dyDescent="0.3">
      <c r="A170" s="1">
        <v>45452</v>
      </c>
      <c r="B170" s="2">
        <f t="shared" si="16"/>
        <v>160</v>
      </c>
      <c r="C170">
        <f t="shared" ca="1" si="17"/>
        <v>0.32</v>
      </c>
      <c r="D170">
        <f t="shared" ca="1" si="18"/>
        <v>6.4</v>
      </c>
      <c r="E170">
        <f t="shared" ca="1" si="19"/>
        <v>6.4</v>
      </c>
      <c r="F170">
        <f t="shared" ca="1" si="20"/>
        <v>5.7817584939837552</v>
      </c>
      <c r="G170">
        <f t="shared" ca="1" si="21"/>
        <v>90.339976468496175</v>
      </c>
      <c r="H170">
        <f t="shared" ref="H170:H191" ca="1" si="22">G170+F170</f>
        <v>96.121734962479934</v>
      </c>
    </row>
    <row r="171" spans="1:8" x14ac:dyDescent="0.3">
      <c r="A171" s="1">
        <v>45453</v>
      </c>
      <c r="B171" s="2">
        <f t="shared" si="16"/>
        <v>161</v>
      </c>
      <c r="C171">
        <f t="shared" ca="1" si="17"/>
        <v>0.93</v>
      </c>
      <c r="D171">
        <f t="shared" ca="1" si="18"/>
        <v>18.600000000000001</v>
      </c>
      <c r="E171">
        <f t="shared" ca="1" si="19"/>
        <v>-1.3999999999999986</v>
      </c>
      <c r="F171">
        <f t="shared" ca="1" si="20"/>
        <v>-1.3457042894747178</v>
      </c>
      <c r="G171">
        <f t="shared" ca="1" si="21"/>
        <v>96.121734962479934</v>
      </c>
      <c r="H171">
        <f t="shared" ca="1" si="22"/>
        <v>94.776030673005209</v>
      </c>
    </row>
    <row r="172" spans="1:8" x14ac:dyDescent="0.3">
      <c r="A172" s="1">
        <v>45454</v>
      </c>
      <c r="B172" s="2">
        <f t="shared" si="16"/>
        <v>162</v>
      </c>
      <c r="C172">
        <f t="shared" ca="1" si="17"/>
        <v>0.92</v>
      </c>
      <c r="D172">
        <f t="shared" ca="1" si="18"/>
        <v>18.400000000000002</v>
      </c>
      <c r="E172">
        <f t="shared" ca="1" si="19"/>
        <v>-1.5999999999999979</v>
      </c>
      <c r="F172">
        <f t="shared" ca="1" si="20"/>
        <v>-1.5164164907680815</v>
      </c>
      <c r="G172">
        <f t="shared" ca="1" si="21"/>
        <v>94.776030673005209</v>
      </c>
      <c r="H172">
        <f t="shared" ca="1" si="22"/>
        <v>93.259614182237129</v>
      </c>
    </row>
    <row r="173" spans="1:8" x14ac:dyDescent="0.3">
      <c r="A173" s="1">
        <v>45455</v>
      </c>
      <c r="B173" s="2">
        <f t="shared" si="16"/>
        <v>163</v>
      </c>
      <c r="C173">
        <f t="shared" ca="1" si="17"/>
        <v>0.38</v>
      </c>
      <c r="D173">
        <f t="shared" ca="1" si="18"/>
        <v>7.6</v>
      </c>
      <c r="E173">
        <f t="shared" ca="1" si="19"/>
        <v>7.6</v>
      </c>
      <c r="F173">
        <f t="shared" ca="1" si="20"/>
        <v>7.087730677850022</v>
      </c>
      <c r="G173">
        <f t="shared" ca="1" si="21"/>
        <v>93.259614182237129</v>
      </c>
      <c r="H173">
        <f t="shared" ca="1" si="22"/>
        <v>100.34734486008715</v>
      </c>
    </row>
    <row r="174" spans="1:8" x14ac:dyDescent="0.3">
      <c r="A174" s="1">
        <v>45456</v>
      </c>
      <c r="B174" s="2">
        <f t="shared" si="16"/>
        <v>164</v>
      </c>
      <c r="C174">
        <f t="shared" ca="1" si="17"/>
        <v>0.66</v>
      </c>
      <c r="D174">
        <f t="shared" ca="1" si="18"/>
        <v>13.200000000000001</v>
      </c>
      <c r="E174">
        <f t="shared" ca="1" si="19"/>
        <v>-6.7999999999999989</v>
      </c>
      <c r="F174">
        <f t="shared" ca="1" si="20"/>
        <v>-6.8236194504859249</v>
      </c>
      <c r="G174">
        <f t="shared" ca="1" si="21"/>
        <v>100.34734486008715</v>
      </c>
      <c r="H174">
        <f t="shared" ca="1" si="22"/>
        <v>93.523725409601226</v>
      </c>
    </row>
    <row r="175" spans="1:8" x14ac:dyDescent="0.3">
      <c r="A175" s="1">
        <v>45457</v>
      </c>
      <c r="B175" s="2">
        <f t="shared" si="16"/>
        <v>165</v>
      </c>
      <c r="C175">
        <f t="shared" ca="1" si="17"/>
        <v>0.62</v>
      </c>
      <c r="D175">
        <f t="shared" ca="1" si="18"/>
        <v>12.4</v>
      </c>
      <c r="E175">
        <f t="shared" ca="1" si="19"/>
        <v>-7.6</v>
      </c>
      <c r="F175">
        <f t="shared" ca="1" si="20"/>
        <v>-7.1078031311296934</v>
      </c>
      <c r="G175">
        <f t="shared" ca="1" si="21"/>
        <v>93.523725409601226</v>
      </c>
      <c r="H175">
        <f t="shared" ca="1" si="22"/>
        <v>86.415922278471527</v>
      </c>
    </row>
    <row r="176" spans="1:8" x14ac:dyDescent="0.3">
      <c r="A176" s="1">
        <v>45458</v>
      </c>
      <c r="B176" s="2">
        <f t="shared" si="16"/>
        <v>166</v>
      </c>
      <c r="C176">
        <f t="shared" ca="1" si="17"/>
        <v>0.78</v>
      </c>
      <c r="D176">
        <f t="shared" ca="1" si="18"/>
        <v>15.600000000000001</v>
      </c>
      <c r="E176">
        <f t="shared" ca="1" si="19"/>
        <v>-4.3999999999999986</v>
      </c>
      <c r="F176">
        <f t="shared" ca="1" si="20"/>
        <v>-3.8023005802527456</v>
      </c>
      <c r="G176">
        <f t="shared" ca="1" si="21"/>
        <v>86.415922278471527</v>
      </c>
      <c r="H176">
        <f t="shared" ca="1" si="22"/>
        <v>82.613621698218779</v>
      </c>
    </row>
    <row r="177" spans="1:8" x14ac:dyDescent="0.3">
      <c r="A177" s="1">
        <v>45459</v>
      </c>
      <c r="B177" s="2">
        <f t="shared" si="16"/>
        <v>167</v>
      </c>
      <c r="C177">
        <f t="shared" ca="1" si="17"/>
        <v>0.23</v>
      </c>
      <c r="D177">
        <f t="shared" ca="1" si="18"/>
        <v>4.6000000000000005</v>
      </c>
      <c r="E177">
        <f t="shared" ca="1" si="19"/>
        <v>4.6000000000000005</v>
      </c>
      <c r="F177">
        <f t="shared" ca="1" si="20"/>
        <v>3.8002265981180643</v>
      </c>
      <c r="G177">
        <f t="shared" ca="1" si="21"/>
        <v>82.613621698218779</v>
      </c>
      <c r="H177">
        <f t="shared" ca="1" si="22"/>
        <v>86.413848296336838</v>
      </c>
    </row>
    <row r="178" spans="1:8" x14ac:dyDescent="0.3">
      <c r="A178" s="1">
        <v>45460</v>
      </c>
      <c r="B178" s="2">
        <f t="shared" si="16"/>
        <v>168</v>
      </c>
      <c r="C178">
        <f t="shared" ca="1" si="17"/>
        <v>0.92</v>
      </c>
      <c r="D178">
        <f t="shared" ca="1" si="18"/>
        <v>18.400000000000002</v>
      </c>
      <c r="E178">
        <f t="shared" ca="1" si="19"/>
        <v>-1.5999999999999979</v>
      </c>
      <c r="F178">
        <f t="shared" ca="1" si="20"/>
        <v>-1.3826215727413875</v>
      </c>
      <c r="G178">
        <f t="shared" ca="1" si="21"/>
        <v>86.413848296336838</v>
      </c>
      <c r="H178">
        <f t="shared" ca="1" si="22"/>
        <v>85.031226723595452</v>
      </c>
    </row>
    <row r="179" spans="1:8" x14ac:dyDescent="0.3">
      <c r="A179" s="1">
        <v>45461</v>
      </c>
      <c r="B179" s="2">
        <f t="shared" si="16"/>
        <v>169</v>
      </c>
      <c r="C179">
        <f t="shared" ca="1" si="17"/>
        <v>0.9</v>
      </c>
      <c r="D179">
        <f t="shared" ca="1" si="18"/>
        <v>18</v>
      </c>
      <c r="E179">
        <f t="shared" ca="1" si="19"/>
        <v>-2</v>
      </c>
      <c r="F179">
        <f t="shared" ca="1" si="20"/>
        <v>-1.7006245344719091</v>
      </c>
      <c r="G179">
        <f t="shared" ca="1" si="21"/>
        <v>85.031226723595452</v>
      </c>
      <c r="H179">
        <f t="shared" ca="1" si="22"/>
        <v>83.330602189123539</v>
      </c>
    </row>
    <row r="180" spans="1:8" x14ac:dyDescent="0.3">
      <c r="A180" s="1">
        <v>45462</v>
      </c>
      <c r="B180" s="2">
        <f t="shared" si="16"/>
        <v>170</v>
      </c>
      <c r="C180">
        <f t="shared" ca="1" si="17"/>
        <v>0.47</v>
      </c>
      <c r="D180">
        <f t="shared" ca="1" si="18"/>
        <v>9.3999999999999986</v>
      </c>
      <c r="E180">
        <f t="shared" ca="1" si="19"/>
        <v>9.3999999999999986</v>
      </c>
      <c r="F180">
        <f t="shared" ca="1" si="20"/>
        <v>7.8330766057776113</v>
      </c>
      <c r="G180">
        <f t="shared" ca="1" si="21"/>
        <v>83.330602189123539</v>
      </c>
      <c r="H180">
        <f t="shared" ca="1" si="22"/>
        <v>91.163678794901145</v>
      </c>
    </row>
    <row r="181" spans="1:8" x14ac:dyDescent="0.3">
      <c r="A181" s="1">
        <v>45463</v>
      </c>
      <c r="B181" s="2">
        <f t="shared" si="16"/>
        <v>171</v>
      </c>
      <c r="C181">
        <f t="shared" ca="1" si="17"/>
        <v>0.41</v>
      </c>
      <c r="D181">
        <f t="shared" ca="1" si="18"/>
        <v>8.1999999999999993</v>
      </c>
      <c r="E181">
        <f t="shared" ca="1" si="19"/>
        <v>8.1999999999999993</v>
      </c>
      <c r="F181">
        <f t="shared" ca="1" si="20"/>
        <v>7.4754216611818931</v>
      </c>
      <c r="G181">
        <f t="shared" ca="1" si="21"/>
        <v>91.163678794901145</v>
      </c>
      <c r="H181">
        <f t="shared" ca="1" si="22"/>
        <v>98.639100456083042</v>
      </c>
    </row>
    <row r="182" spans="1:8" x14ac:dyDescent="0.3">
      <c r="A182" s="1">
        <v>45464</v>
      </c>
      <c r="B182" s="2">
        <f t="shared" si="16"/>
        <v>172</v>
      </c>
      <c r="C182">
        <f t="shared" ca="1" si="17"/>
        <v>0.11</v>
      </c>
      <c r="D182">
        <f t="shared" ca="1" si="18"/>
        <v>2.2000000000000002</v>
      </c>
      <c r="E182">
        <f t="shared" ca="1" si="19"/>
        <v>2.2000000000000002</v>
      </c>
      <c r="F182">
        <f t="shared" ca="1" si="20"/>
        <v>2.1700602100338271</v>
      </c>
      <c r="G182">
        <f t="shared" ca="1" si="21"/>
        <v>98.639100456083042</v>
      </c>
      <c r="H182">
        <f t="shared" ca="1" si="22"/>
        <v>100.80916066611687</v>
      </c>
    </row>
    <row r="183" spans="1:8" x14ac:dyDescent="0.3">
      <c r="A183" s="1">
        <v>45465</v>
      </c>
      <c r="B183" s="2">
        <f t="shared" si="16"/>
        <v>173</v>
      </c>
      <c r="C183">
        <f t="shared" ca="1" si="17"/>
        <v>0.55000000000000004</v>
      </c>
      <c r="D183">
        <f t="shared" ca="1" si="18"/>
        <v>11</v>
      </c>
      <c r="E183">
        <f t="shared" ca="1" si="19"/>
        <v>-9</v>
      </c>
      <c r="F183">
        <f t="shared" ca="1" si="20"/>
        <v>-9.0728244599505175</v>
      </c>
      <c r="G183">
        <f t="shared" ca="1" si="21"/>
        <v>100.80916066611687</v>
      </c>
      <c r="H183">
        <f t="shared" ca="1" si="22"/>
        <v>91.736336206166357</v>
      </c>
    </row>
    <row r="184" spans="1:8" x14ac:dyDescent="0.3">
      <c r="A184" s="1">
        <v>45466</v>
      </c>
      <c r="B184" s="2">
        <f t="shared" si="16"/>
        <v>174</v>
      </c>
      <c r="C184">
        <f t="shared" ca="1" si="17"/>
        <v>0.87</v>
      </c>
      <c r="D184">
        <f t="shared" ca="1" si="18"/>
        <v>17.399999999999999</v>
      </c>
      <c r="E184">
        <f t="shared" ca="1" si="19"/>
        <v>-2.6000000000000014</v>
      </c>
      <c r="F184">
        <f t="shared" ca="1" si="20"/>
        <v>-2.3851447413603264</v>
      </c>
      <c r="G184">
        <f t="shared" ca="1" si="21"/>
        <v>91.736336206166357</v>
      </c>
      <c r="H184">
        <f t="shared" ca="1" si="22"/>
        <v>89.351191464806035</v>
      </c>
    </row>
    <row r="185" spans="1:8" x14ac:dyDescent="0.3">
      <c r="A185" s="1">
        <v>45467</v>
      </c>
      <c r="B185" s="2">
        <f t="shared" si="16"/>
        <v>175</v>
      </c>
      <c r="C185">
        <f t="shared" ca="1" si="17"/>
        <v>0.67</v>
      </c>
      <c r="D185">
        <f t="shared" ca="1" si="18"/>
        <v>13.4</v>
      </c>
      <c r="E185">
        <f t="shared" ca="1" si="19"/>
        <v>-6.6</v>
      </c>
      <c r="F185">
        <f t="shared" ca="1" si="20"/>
        <v>-5.8971786366771983</v>
      </c>
      <c r="G185">
        <f t="shared" ca="1" si="21"/>
        <v>89.351191464806035</v>
      </c>
      <c r="H185">
        <f t="shared" ca="1" si="22"/>
        <v>83.454012828128839</v>
      </c>
    </row>
    <row r="186" spans="1:8" x14ac:dyDescent="0.3">
      <c r="A186" s="1">
        <v>45468</v>
      </c>
      <c r="B186" s="2">
        <f t="shared" si="16"/>
        <v>176</v>
      </c>
      <c r="C186">
        <f t="shared" ca="1" si="17"/>
        <v>0.12</v>
      </c>
      <c r="D186">
        <f t="shared" ca="1" si="18"/>
        <v>2.4</v>
      </c>
      <c r="E186">
        <f t="shared" ca="1" si="19"/>
        <v>2.4</v>
      </c>
      <c r="F186">
        <f t="shared" ca="1" si="20"/>
        <v>2.0028963078750923</v>
      </c>
      <c r="G186">
        <f t="shared" ca="1" si="21"/>
        <v>83.454012828128839</v>
      </c>
      <c r="H186">
        <f t="shared" ca="1" si="22"/>
        <v>85.456909136003929</v>
      </c>
    </row>
    <row r="187" spans="1:8" x14ac:dyDescent="0.3">
      <c r="A187" s="1">
        <v>45469</v>
      </c>
      <c r="B187" s="2">
        <f t="shared" si="16"/>
        <v>177</v>
      </c>
      <c r="C187">
        <f t="shared" ca="1" si="17"/>
        <v>0.95</v>
      </c>
      <c r="D187">
        <f t="shared" ca="1" si="18"/>
        <v>19</v>
      </c>
      <c r="E187">
        <f t="shared" ca="1" si="19"/>
        <v>-1</v>
      </c>
      <c r="F187">
        <f t="shared" ca="1" si="20"/>
        <v>-0.85456909136003933</v>
      </c>
      <c r="G187">
        <f t="shared" ca="1" si="21"/>
        <v>85.456909136003929</v>
      </c>
      <c r="H187">
        <f t="shared" ca="1" si="22"/>
        <v>84.602340044643896</v>
      </c>
    </row>
    <row r="188" spans="1:8" x14ac:dyDescent="0.3">
      <c r="A188" s="1">
        <v>45470</v>
      </c>
      <c r="B188" s="2">
        <f t="shared" si="16"/>
        <v>178</v>
      </c>
      <c r="C188">
        <f t="shared" ca="1" si="17"/>
        <v>0.06</v>
      </c>
      <c r="D188">
        <f t="shared" ca="1" si="18"/>
        <v>1.2</v>
      </c>
      <c r="E188">
        <f t="shared" ca="1" si="19"/>
        <v>1.2</v>
      </c>
      <c r="F188">
        <f t="shared" ca="1" si="20"/>
        <v>1.0152280805357268</v>
      </c>
      <c r="G188">
        <f t="shared" ca="1" si="21"/>
        <v>84.602340044643896</v>
      </c>
      <c r="H188">
        <f t="shared" ca="1" si="22"/>
        <v>85.617568125179616</v>
      </c>
    </row>
    <row r="189" spans="1:8" x14ac:dyDescent="0.3">
      <c r="A189" s="1">
        <v>45471</v>
      </c>
      <c r="B189" s="2">
        <f t="shared" si="16"/>
        <v>179</v>
      </c>
      <c r="C189">
        <f t="shared" ca="1" si="17"/>
        <v>0.44</v>
      </c>
      <c r="D189">
        <f t="shared" ca="1" si="18"/>
        <v>8.8000000000000007</v>
      </c>
      <c r="E189">
        <f t="shared" ca="1" si="19"/>
        <v>8.8000000000000007</v>
      </c>
      <c r="F189">
        <f t="shared" ca="1" si="20"/>
        <v>7.5343459950158067</v>
      </c>
      <c r="G189">
        <f t="shared" ca="1" si="21"/>
        <v>85.617568125179616</v>
      </c>
      <c r="H189">
        <f t="shared" ca="1" si="22"/>
        <v>93.151914120195428</v>
      </c>
    </row>
    <row r="190" spans="1:8" x14ac:dyDescent="0.3">
      <c r="A190" s="1">
        <v>45472</v>
      </c>
      <c r="B190" s="2">
        <f t="shared" si="16"/>
        <v>180</v>
      </c>
      <c r="C190">
        <f t="shared" ca="1" si="17"/>
        <v>0.15</v>
      </c>
      <c r="D190">
        <f t="shared" ca="1" si="18"/>
        <v>3</v>
      </c>
      <c r="E190">
        <f t="shared" ca="1" si="19"/>
        <v>3</v>
      </c>
      <c r="F190">
        <f t="shared" ca="1" si="20"/>
        <v>2.7945574236058626</v>
      </c>
      <c r="G190">
        <f t="shared" ca="1" si="21"/>
        <v>93.151914120195428</v>
      </c>
      <c r="H190">
        <f t="shared" ca="1" si="22"/>
        <v>95.946471543801295</v>
      </c>
    </row>
    <row r="191" spans="1:8" x14ac:dyDescent="0.3">
      <c r="A191" s="1">
        <v>45473</v>
      </c>
      <c r="B191" s="2">
        <f t="shared" si="16"/>
        <v>181</v>
      </c>
      <c r="C191">
        <f t="shared" ca="1" si="17"/>
        <v>0.4</v>
      </c>
      <c r="D191">
        <f t="shared" ca="1" si="18"/>
        <v>8</v>
      </c>
      <c r="E191">
        <f t="shared" ca="1" si="19"/>
        <v>8</v>
      </c>
      <c r="F191">
        <f t="shared" ca="1" si="20"/>
        <v>7.6757177235041034</v>
      </c>
      <c r="G191">
        <f t="shared" ca="1" si="21"/>
        <v>95.946471543801295</v>
      </c>
      <c r="H191">
        <f t="shared" ca="1" si="22"/>
        <v>103.6221892673054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C74B9-5887-435A-8E42-B274EB2C2240}">
  <sheetPr codeName="Sheet4"/>
  <dimension ref="A2:H191"/>
  <sheetViews>
    <sheetView workbookViewId="0">
      <selection activeCell="B8" sqref="B8"/>
    </sheetView>
  </sheetViews>
  <sheetFormatPr defaultRowHeight="14.4" x14ac:dyDescent="0.3"/>
  <cols>
    <col min="1" max="1" width="17" customWidth="1"/>
    <col min="2" max="2" width="10.5546875" bestFit="1" customWidth="1"/>
    <col min="3" max="3" width="9.5546875" customWidth="1"/>
    <col min="4" max="4" width="9.44140625" customWidth="1"/>
    <col min="5" max="5" width="8.88671875" customWidth="1"/>
    <col min="6" max="7" width="11.109375" customWidth="1"/>
  </cols>
  <sheetData>
    <row r="2" spans="1:8" x14ac:dyDescent="0.3">
      <c r="A2" t="s">
        <v>11</v>
      </c>
    </row>
    <row r="4" spans="1:8" x14ac:dyDescent="0.3">
      <c r="A4" t="s">
        <v>1</v>
      </c>
    </row>
    <row r="5" spans="1:8" x14ac:dyDescent="0.3">
      <c r="A5" t="s">
        <v>0</v>
      </c>
      <c r="B5">
        <v>10</v>
      </c>
      <c r="D5" t="s">
        <v>12</v>
      </c>
    </row>
    <row r="6" spans="1:8" x14ac:dyDescent="0.3">
      <c r="A6" t="s">
        <v>6</v>
      </c>
      <c r="B6">
        <v>2</v>
      </c>
    </row>
    <row r="7" spans="1:8" x14ac:dyDescent="0.3">
      <c r="A7" t="s">
        <v>13</v>
      </c>
      <c r="B7">
        <v>626</v>
      </c>
    </row>
    <row r="8" spans="1:8" x14ac:dyDescent="0.3">
      <c r="C8" s="1"/>
    </row>
    <row r="9" spans="1:8" x14ac:dyDescent="0.3">
      <c r="A9" s="3" t="s">
        <v>3</v>
      </c>
      <c r="B9" s="3" t="s">
        <v>2</v>
      </c>
      <c r="C9" s="3" t="s">
        <v>4</v>
      </c>
      <c r="D9" s="4" t="s">
        <v>10</v>
      </c>
      <c r="E9" s="3" t="s">
        <v>5</v>
      </c>
      <c r="F9" s="3" t="s">
        <v>7</v>
      </c>
      <c r="G9" s="3" t="s">
        <v>9</v>
      </c>
      <c r="H9" s="3" t="s">
        <v>8</v>
      </c>
    </row>
    <row r="10" spans="1:8" x14ac:dyDescent="0.3">
      <c r="A10" s="1">
        <v>45292</v>
      </c>
      <c r="B10" s="2">
        <f>(ROW()+5)/2</f>
        <v>7.5</v>
      </c>
      <c r="C10">
        <f>ROUND(ImprovedSeededRandom($B$7,B10),2)</f>
        <v>0.15</v>
      </c>
      <c r="D10">
        <f>$B$6*$B$5*C10</f>
        <v>3</v>
      </c>
      <c r="E10">
        <f>IF(D10&gt;$B$5,D10-(2*$B$5),D10)</f>
        <v>3</v>
      </c>
      <c r="F10">
        <f>G10*(E10/100)</f>
        <v>1.5</v>
      </c>
      <c r="G10">
        <v>50</v>
      </c>
      <c r="H10">
        <f>G10+F10</f>
        <v>51.5</v>
      </c>
    </row>
    <row r="11" spans="1:8" x14ac:dyDescent="0.3">
      <c r="A11" s="1">
        <v>45293</v>
      </c>
      <c r="B11" s="2">
        <f t="shared" ref="B11:B74" si="0">(ROW()+5)/2</f>
        <v>8</v>
      </c>
      <c r="C11">
        <f>ROUND(ImprovedSeededRandom($B$7,B11),2)</f>
        <v>0.15</v>
      </c>
      <c r="D11">
        <f t="shared" ref="D11:D74" si="1">$B$6*$B$5*C11</f>
        <v>3</v>
      </c>
      <c r="E11">
        <f t="shared" ref="E11:E74" si="2">IF(D11&gt;$B$5,D11-(2*$B$5),D11)</f>
        <v>3</v>
      </c>
      <c r="F11">
        <f t="shared" ref="F11:F74" si="3">G11*(E11/100)</f>
        <v>1.5449999999999999</v>
      </c>
      <c r="G11">
        <f>H10</f>
        <v>51.5</v>
      </c>
      <c r="H11">
        <f t="shared" ref="H11:H74" si="4">G11+F11</f>
        <v>53.045000000000002</v>
      </c>
    </row>
    <row r="12" spans="1:8" x14ac:dyDescent="0.3">
      <c r="A12" s="1">
        <v>45294</v>
      </c>
      <c r="B12" s="2">
        <f t="shared" si="0"/>
        <v>8.5</v>
      </c>
      <c r="C12">
        <f t="shared" ref="C12:C74" si="5">ROUND(ImprovedSeededRandom($B$7,B12),2)</f>
        <v>0.15</v>
      </c>
      <c r="D12">
        <f t="shared" si="1"/>
        <v>3</v>
      </c>
      <c r="E12">
        <f t="shared" si="2"/>
        <v>3</v>
      </c>
      <c r="F12">
        <f t="shared" si="3"/>
        <v>1.59135</v>
      </c>
      <c r="G12">
        <f t="shared" ref="G12:G75" si="6">H11</f>
        <v>53.045000000000002</v>
      </c>
      <c r="H12">
        <f t="shared" si="4"/>
        <v>54.63635</v>
      </c>
    </row>
    <row r="13" spans="1:8" x14ac:dyDescent="0.3">
      <c r="A13" s="1">
        <v>45295</v>
      </c>
      <c r="B13" s="2">
        <f t="shared" si="0"/>
        <v>9</v>
      </c>
      <c r="C13">
        <f t="shared" si="5"/>
        <v>0.28999999999999998</v>
      </c>
      <c r="D13">
        <f t="shared" si="1"/>
        <v>5.8</v>
      </c>
      <c r="E13">
        <f t="shared" si="2"/>
        <v>5.8</v>
      </c>
      <c r="F13">
        <f t="shared" si="3"/>
        <v>3.1689083</v>
      </c>
      <c r="G13">
        <f t="shared" si="6"/>
        <v>54.63635</v>
      </c>
      <c r="H13">
        <f t="shared" si="4"/>
        <v>57.805258299999998</v>
      </c>
    </row>
    <row r="14" spans="1:8" x14ac:dyDescent="0.3">
      <c r="A14" s="1">
        <v>45296</v>
      </c>
      <c r="B14" s="2">
        <f t="shared" si="0"/>
        <v>9.5</v>
      </c>
      <c r="C14">
        <f t="shared" si="5"/>
        <v>0.43</v>
      </c>
      <c r="D14">
        <f t="shared" si="1"/>
        <v>8.6</v>
      </c>
      <c r="E14">
        <f t="shared" si="2"/>
        <v>8.6</v>
      </c>
      <c r="F14">
        <f t="shared" si="3"/>
        <v>4.9712522137999997</v>
      </c>
      <c r="G14">
        <f t="shared" si="6"/>
        <v>57.805258299999998</v>
      </c>
      <c r="H14">
        <f t="shared" si="4"/>
        <v>62.776510513799998</v>
      </c>
    </row>
    <row r="15" spans="1:8" x14ac:dyDescent="0.3">
      <c r="A15" s="1">
        <v>45297</v>
      </c>
      <c r="B15" s="2">
        <f t="shared" si="0"/>
        <v>10</v>
      </c>
      <c r="C15">
        <f t="shared" si="5"/>
        <v>0.43</v>
      </c>
      <c r="D15">
        <f t="shared" si="1"/>
        <v>8.6</v>
      </c>
      <c r="E15">
        <f t="shared" si="2"/>
        <v>8.6</v>
      </c>
      <c r="F15">
        <f t="shared" si="3"/>
        <v>5.3987799041867994</v>
      </c>
      <c r="G15">
        <f t="shared" si="6"/>
        <v>62.776510513799998</v>
      </c>
      <c r="H15">
        <f t="shared" si="4"/>
        <v>68.175290417986801</v>
      </c>
    </row>
    <row r="16" spans="1:8" x14ac:dyDescent="0.3">
      <c r="A16" s="1">
        <v>45298</v>
      </c>
      <c r="B16" s="2">
        <f t="shared" si="0"/>
        <v>10.5</v>
      </c>
      <c r="C16">
        <f t="shared" si="5"/>
        <v>0.43</v>
      </c>
      <c r="D16">
        <f t="shared" si="1"/>
        <v>8.6</v>
      </c>
      <c r="E16">
        <f t="shared" si="2"/>
        <v>8.6</v>
      </c>
      <c r="F16">
        <f t="shared" si="3"/>
        <v>5.8630749759468648</v>
      </c>
      <c r="G16">
        <f t="shared" si="6"/>
        <v>68.175290417986801</v>
      </c>
      <c r="H16">
        <f t="shared" si="4"/>
        <v>74.03836539393366</v>
      </c>
    </row>
    <row r="17" spans="1:8" x14ac:dyDescent="0.3">
      <c r="A17" s="1">
        <v>45299</v>
      </c>
      <c r="B17" s="2">
        <f t="shared" si="0"/>
        <v>11</v>
      </c>
      <c r="C17">
        <f t="shared" si="5"/>
        <v>0.56999999999999995</v>
      </c>
      <c r="D17">
        <f t="shared" si="1"/>
        <v>11.399999999999999</v>
      </c>
      <c r="E17">
        <f t="shared" si="2"/>
        <v>-8.6000000000000014</v>
      </c>
      <c r="F17">
        <f t="shared" si="3"/>
        <v>-6.3672994238782961</v>
      </c>
      <c r="G17">
        <f t="shared" si="6"/>
        <v>74.03836539393366</v>
      </c>
      <c r="H17">
        <f t="shared" si="4"/>
        <v>67.671065970055366</v>
      </c>
    </row>
    <row r="18" spans="1:8" x14ac:dyDescent="0.3">
      <c r="A18" s="1">
        <v>45300</v>
      </c>
      <c r="B18" s="2">
        <f t="shared" si="0"/>
        <v>11.5</v>
      </c>
      <c r="C18">
        <f t="shared" si="5"/>
        <v>0.71</v>
      </c>
      <c r="D18">
        <f t="shared" si="1"/>
        <v>14.2</v>
      </c>
      <c r="E18">
        <f t="shared" si="2"/>
        <v>-5.8000000000000007</v>
      </c>
      <c r="F18">
        <f t="shared" si="3"/>
        <v>-3.924921826263212</v>
      </c>
      <c r="G18">
        <f t="shared" si="6"/>
        <v>67.671065970055366</v>
      </c>
      <c r="H18">
        <f t="shared" si="4"/>
        <v>63.746144143792151</v>
      </c>
    </row>
    <row r="19" spans="1:8" x14ac:dyDescent="0.3">
      <c r="A19" s="1">
        <v>45301</v>
      </c>
      <c r="B19" s="2">
        <f t="shared" si="0"/>
        <v>12</v>
      </c>
      <c r="C19">
        <f>ROUND(ImprovedSeededRandom($B$7,B19),2)</f>
        <v>0.71</v>
      </c>
      <c r="D19">
        <f t="shared" si="1"/>
        <v>14.2</v>
      </c>
      <c r="E19">
        <f t="shared" si="2"/>
        <v>-5.8000000000000007</v>
      </c>
      <c r="F19">
        <f t="shared" si="3"/>
        <v>-3.6972763603399454</v>
      </c>
      <c r="G19">
        <f t="shared" si="6"/>
        <v>63.746144143792151</v>
      </c>
      <c r="H19">
        <f t="shared" si="4"/>
        <v>60.048867783452202</v>
      </c>
    </row>
    <row r="20" spans="1:8" x14ac:dyDescent="0.3">
      <c r="A20" s="1">
        <v>45302</v>
      </c>
      <c r="B20" s="2">
        <f t="shared" si="0"/>
        <v>12.5</v>
      </c>
      <c r="C20">
        <f>ROUND(ImprovedSeededRandom($B$7,B20),2)</f>
        <v>0.71</v>
      </c>
      <c r="D20">
        <f t="shared" si="1"/>
        <v>14.2</v>
      </c>
      <c r="E20">
        <f t="shared" si="2"/>
        <v>-5.8000000000000007</v>
      </c>
      <c r="F20">
        <f t="shared" si="3"/>
        <v>-3.4828343314402281</v>
      </c>
      <c r="G20">
        <f t="shared" si="6"/>
        <v>60.048867783452202</v>
      </c>
      <c r="H20">
        <f t="shared" si="4"/>
        <v>56.566033452011972</v>
      </c>
    </row>
    <row r="21" spans="1:8" x14ac:dyDescent="0.3">
      <c r="A21" s="1">
        <v>45303</v>
      </c>
      <c r="B21" s="2">
        <f t="shared" si="0"/>
        <v>13</v>
      </c>
      <c r="C21">
        <f t="shared" si="5"/>
        <v>0.85</v>
      </c>
      <c r="D21">
        <f t="shared" si="1"/>
        <v>17</v>
      </c>
      <c r="E21">
        <f t="shared" si="2"/>
        <v>-3</v>
      </c>
      <c r="F21">
        <f t="shared" si="3"/>
        <v>-1.6969810035603592</v>
      </c>
      <c r="G21">
        <f t="shared" si="6"/>
        <v>56.566033452011972</v>
      </c>
      <c r="H21">
        <f t="shared" si="4"/>
        <v>54.869052448451612</v>
      </c>
    </row>
    <row r="22" spans="1:8" x14ac:dyDescent="0.3">
      <c r="A22" s="1">
        <v>45304</v>
      </c>
      <c r="B22" s="2">
        <f t="shared" si="0"/>
        <v>13.5</v>
      </c>
      <c r="C22">
        <f t="shared" si="5"/>
        <v>0.99</v>
      </c>
      <c r="D22">
        <f t="shared" si="1"/>
        <v>19.8</v>
      </c>
      <c r="E22">
        <f t="shared" si="2"/>
        <v>-0.19999999999999929</v>
      </c>
      <c r="F22">
        <f t="shared" si="3"/>
        <v>-0.10973810489690285</v>
      </c>
      <c r="G22">
        <f t="shared" si="6"/>
        <v>54.869052448451612</v>
      </c>
      <c r="H22">
        <f t="shared" si="4"/>
        <v>54.759314343554706</v>
      </c>
    </row>
    <row r="23" spans="1:8" x14ac:dyDescent="0.3">
      <c r="A23" s="1">
        <v>45305</v>
      </c>
      <c r="B23" s="2">
        <f t="shared" si="0"/>
        <v>14</v>
      </c>
      <c r="C23">
        <f t="shared" si="5"/>
        <v>0.99</v>
      </c>
      <c r="D23">
        <f t="shared" si="1"/>
        <v>19.8</v>
      </c>
      <c r="E23">
        <f t="shared" si="2"/>
        <v>-0.19999999999999929</v>
      </c>
      <c r="F23">
        <f t="shared" si="3"/>
        <v>-0.10951862868710903</v>
      </c>
      <c r="G23">
        <f t="shared" si="6"/>
        <v>54.759314343554706</v>
      </c>
      <c r="H23">
        <f t="shared" si="4"/>
        <v>54.649795714867601</v>
      </c>
    </row>
    <row r="24" spans="1:8" x14ac:dyDescent="0.3">
      <c r="A24" s="1">
        <v>45306</v>
      </c>
      <c r="B24" s="2">
        <f t="shared" si="0"/>
        <v>14.5</v>
      </c>
      <c r="C24">
        <f t="shared" si="5"/>
        <v>0.99</v>
      </c>
      <c r="D24">
        <f t="shared" si="1"/>
        <v>19.8</v>
      </c>
      <c r="E24">
        <f t="shared" si="2"/>
        <v>-0.19999999999999929</v>
      </c>
      <c r="F24">
        <f t="shared" si="3"/>
        <v>-0.10929959142973482</v>
      </c>
      <c r="G24">
        <f t="shared" si="6"/>
        <v>54.649795714867601</v>
      </c>
      <c r="H24">
        <f t="shared" si="4"/>
        <v>54.540496123437869</v>
      </c>
    </row>
    <row r="25" spans="1:8" x14ac:dyDescent="0.3">
      <c r="A25" s="1">
        <v>45307</v>
      </c>
      <c r="B25" s="2">
        <f t="shared" si="0"/>
        <v>15</v>
      </c>
      <c r="C25">
        <f t="shared" si="5"/>
        <v>0.13</v>
      </c>
      <c r="D25">
        <f t="shared" si="1"/>
        <v>2.6</v>
      </c>
      <c r="E25">
        <f t="shared" si="2"/>
        <v>2.6</v>
      </c>
      <c r="F25">
        <f t="shared" si="3"/>
        <v>1.4180528992093848</v>
      </c>
      <c r="G25">
        <f t="shared" si="6"/>
        <v>54.540496123437869</v>
      </c>
      <c r="H25">
        <f t="shared" si="4"/>
        <v>55.958549022647254</v>
      </c>
    </row>
    <row r="26" spans="1:8" x14ac:dyDescent="0.3">
      <c r="A26" s="1">
        <v>45308</v>
      </c>
      <c r="B26" s="2">
        <f t="shared" si="0"/>
        <v>15.5</v>
      </c>
      <c r="C26">
        <f t="shared" si="5"/>
        <v>0.27</v>
      </c>
      <c r="D26">
        <f t="shared" si="1"/>
        <v>5.4</v>
      </c>
      <c r="E26">
        <f t="shared" si="2"/>
        <v>5.4</v>
      </c>
      <c r="F26">
        <f t="shared" si="3"/>
        <v>3.0217616472229523</v>
      </c>
      <c r="G26">
        <f t="shared" si="6"/>
        <v>55.958549022647254</v>
      </c>
      <c r="H26">
        <f t="shared" si="4"/>
        <v>58.980310669870207</v>
      </c>
    </row>
    <row r="27" spans="1:8" x14ac:dyDescent="0.3">
      <c r="A27" s="1">
        <v>45309</v>
      </c>
      <c r="B27" s="2">
        <f t="shared" si="0"/>
        <v>16</v>
      </c>
      <c r="C27">
        <f t="shared" si="5"/>
        <v>0.27</v>
      </c>
      <c r="D27">
        <f t="shared" si="1"/>
        <v>5.4</v>
      </c>
      <c r="E27">
        <f t="shared" si="2"/>
        <v>5.4</v>
      </c>
      <c r="F27">
        <f t="shared" si="3"/>
        <v>3.1849367761729916</v>
      </c>
      <c r="G27">
        <f t="shared" si="6"/>
        <v>58.980310669870207</v>
      </c>
      <c r="H27">
        <f t="shared" si="4"/>
        <v>62.165247446043196</v>
      </c>
    </row>
    <row r="28" spans="1:8" x14ac:dyDescent="0.3">
      <c r="A28" s="1">
        <v>45310</v>
      </c>
      <c r="B28" s="2">
        <f t="shared" si="0"/>
        <v>16.5</v>
      </c>
      <c r="C28">
        <f t="shared" si="5"/>
        <v>0.27</v>
      </c>
      <c r="D28">
        <f t="shared" si="1"/>
        <v>5.4</v>
      </c>
      <c r="E28">
        <f t="shared" si="2"/>
        <v>5.4</v>
      </c>
      <c r="F28">
        <f t="shared" si="3"/>
        <v>3.356923362086333</v>
      </c>
      <c r="G28">
        <f t="shared" si="6"/>
        <v>62.165247446043196</v>
      </c>
      <c r="H28">
        <f t="shared" si="4"/>
        <v>65.52217080812953</v>
      </c>
    </row>
    <row r="29" spans="1:8" x14ac:dyDescent="0.3">
      <c r="A29" s="1">
        <v>45311</v>
      </c>
      <c r="B29" s="2">
        <f t="shared" si="0"/>
        <v>17</v>
      </c>
      <c r="C29">
        <f t="shared" si="5"/>
        <v>0.41</v>
      </c>
      <c r="D29">
        <f t="shared" si="1"/>
        <v>8.1999999999999993</v>
      </c>
      <c r="E29">
        <f t="shared" si="2"/>
        <v>8.1999999999999993</v>
      </c>
      <c r="F29">
        <f t="shared" si="3"/>
        <v>5.3728180062666206</v>
      </c>
      <c r="G29">
        <f t="shared" si="6"/>
        <v>65.52217080812953</v>
      </c>
      <c r="H29">
        <f t="shared" si="4"/>
        <v>70.894988814396157</v>
      </c>
    </row>
    <row r="30" spans="1:8" x14ac:dyDescent="0.3">
      <c r="A30" s="1">
        <v>45312</v>
      </c>
      <c r="B30" s="2">
        <f t="shared" si="0"/>
        <v>17.5</v>
      </c>
      <c r="C30">
        <f t="shared" si="5"/>
        <v>0.55000000000000004</v>
      </c>
      <c r="D30">
        <f t="shared" si="1"/>
        <v>11</v>
      </c>
      <c r="E30">
        <f t="shared" si="2"/>
        <v>-9</v>
      </c>
      <c r="F30">
        <f t="shared" si="3"/>
        <v>-6.3805489932956538</v>
      </c>
      <c r="G30">
        <f t="shared" si="6"/>
        <v>70.894988814396157</v>
      </c>
      <c r="H30">
        <f t="shared" si="4"/>
        <v>64.51443982110051</v>
      </c>
    </row>
    <row r="31" spans="1:8" x14ac:dyDescent="0.3">
      <c r="A31" s="1">
        <v>45313</v>
      </c>
      <c r="B31" s="2">
        <f t="shared" si="0"/>
        <v>18</v>
      </c>
      <c r="C31">
        <f t="shared" si="5"/>
        <v>0.55000000000000004</v>
      </c>
      <c r="D31">
        <f t="shared" si="1"/>
        <v>11</v>
      </c>
      <c r="E31">
        <f t="shared" si="2"/>
        <v>-9</v>
      </c>
      <c r="F31">
        <f t="shared" si="3"/>
        <v>-5.8062995838990457</v>
      </c>
      <c r="G31">
        <f t="shared" si="6"/>
        <v>64.51443982110051</v>
      </c>
      <c r="H31">
        <f t="shared" si="4"/>
        <v>58.708140237201462</v>
      </c>
    </row>
    <row r="32" spans="1:8" x14ac:dyDescent="0.3">
      <c r="A32" s="1">
        <v>45314</v>
      </c>
      <c r="B32" s="2">
        <f t="shared" si="0"/>
        <v>18.5</v>
      </c>
      <c r="C32">
        <f t="shared" si="5"/>
        <v>0.55000000000000004</v>
      </c>
      <c r="D32">
        <f t="shared" si="1"/>
        <v>11</v>
      </c>
      <c r="E32">
        <f t="shared" si="2"/>
        <v>-9</v>
      </c>
      <c r="F32">
        <f t="shared" si="3"/>
        <v>-5.2837326213481317</v>
      </c>
      <c r="G32">
        <f t="shared" si="6"/>
        <v>58.708140237201462</v>
      </c>
      <c r="H32">
        <f t="shared" si="4"/>
        <v>53.424407615853333</v>
      </c>
    </row>
    <row r="33" spans="1:8" x14ac:dyDescent="0.3">
      <c r="A33" s="1">
        <v>45315</v>
      </c>
      <c r="B33" s="2">
        <f t="shared" si="0"/>
        <v>19</v>
      </c>
      <c r="C33">
        <f t="shared" si="5"/>
        <v>0.69</v>
      </c>
      <c r="D33">
        <f t="shared" si="1"/>
        <v>13.799999999999999</v>
      </c>
      <c r="E33">
        <f t="shared" si="2"/>
        <v>-6.2000000000000011</v>
      </c>
      <c r="F33">
        <f t="shared" si="3"/>
        <v>-3.3123132721829074</v>
      </c>
      <c r="G33">
        <f t="shared" si="6"/>
        <v>53.424407615853333</v>
      </c>
      <c r="H33">
        <f t="shared" si="4"/>
        <v>50.112094343670428</v>
      </c>
    </row>
    <row r="34" spans="1:8" x14ac:dyDescent="0.3">
      <c r="A34" s="1">
        <v>45316</v>
      </c>
      <c r="B34" s="2">
        <f t="shared" si="0"/>
        <v>19.5</v>
      </c>
      <c r="C34">
        <f t="shared" si="5"/>
        <v>0.83</v>
      </c>
      <c r="D34">
        <f t="shared" si="1"/>
        <v>16.599999999999998</v>
      </c>
      <c r="E34">
        <f t="shared" si="2"/>
        <v>-3.4000000000000021</v>
      </c>
      <c r="F34">
        <f t="shared" si="3"/>
        <v>-1.7038112076847958</v>
      </c>
      <c r="G34">
        <f t="shared" si="6"/>
        <v>50.112094343670428</v>
      </c>
      <c r="H34">
        <f t="shared" si="4"/>
        <v>48.408283135985634</v>
      </c>
    </row>
    <row r="35" spans="1:8" x14ac:dyDescent="0.3">
      <c r="A35" s="1">
        <v>45317</v>
      </c>
      <c r="B35" s="2">
        <f t="shared" si="0"/>
        <v>20</v>
      </c>
      <c r="C35">
        <f t="shared" si="5"/>
        <v>0.83</v>
      </c>
      <c r="D35">
        <f t="shared" si="1"/>
        <v>16.599999999999998</v>
      </c>
      <c r="E35">
        <f t="shared" si="2"/>
        <v>-3.4000000000000021</v>
      </c>
      <c r="F35">
        <f t="shared" si="3"/>
        <v>-1.6458816266235128</v>
      </c>
      <c r="G35">
        <f t="shared" si="6"/>
        <v>48.408283135985634</v>
      </c>
      <c r="H35">
        <f t="shared" si="4"/>
        <v>46.762401509362121</v>
      </c>
    </row>
    <row r="36" spans="1:8" x14ac:dyDescent="0.3">
      <c r="A36" s="1">
        <v>45318</v>
      </c>
      <c r="B36" s="2">
        <f t="shared" si="0"/>
        <v>20.5</v>
      </c>
      <c r="C36">
        <f t="shared" si="5"/>
        <v>0.83</v>
      </c>
      <c r="D36">
        <f t="shared" si="1"/>
        <v>16.599999999999998</v>
      </c>
      <c r="E36">
        <f t="shared" si="2"/>
        <v>-3.4000000000000021</v>
      </c>
      <c r="F36">
        <f t="shared" si="3"/>
        <v>-1.5899216513183132</v>
      </c>
      <c r="G36">
        <f t="shared" si="6"/>
        <v>46.762401509362121</v>
      </c>
      <c r="H36">
        <f t="shared" si="4"/>
        <v>45.172479858043808</v>
      </c>
    </row>
    <row r="37" spans="1:8" x14ac:dyDescent="0.3">
      <c r="A37" s="1">
        <v>45319</v>
      </c>
      <c r="B37" s="2">
        <f t="shared" si="0"/>
        <v>21</v>
      </c>
      <c r="C37">
        <f t="shared" si="5"/>
        <v>0.97</v>
      </c>
      <c r="D37">
        <f t="shared" si="1"/>
        <v>19.399999999999999</v>
      </c>
      <c r="E37">
        <f t="shared" si="2"/>
        <v>-0.60000000000000142</v>
      </c>
      <c r="F37">
        <f t="shared" si="3"/>
        <v>-0.27103487914826346</v>
      </c>
      <c r="G37">
        <f t="shared" si="6"/>
        <v>45.172479858043808</v>
      </c>
      <c r="H37">
        <f t="shared" si="4"/>
        <v>44.901444978895547</v>
      </c>
    </row>
    <row r="38" spans="1:8" x14ac:dyDescent="0.3">
      <c r="A38" s="1">
        <v>45320</v>
      </c>
      <c r="B38" s="2">
        <f t="shared" si="0"/>
        <v>21.5</v>
      </c>
      <c r="C38">
        <f t="shared" si="5"/>
        <v>0.11</v>
      </c>
      <c r="D38">
        <f t="shared" si="1"/>
        <v>2.2000000000000002</v>
      </c>
      <c r="E38">
        <f t="shared" si="2"/>
        <v>2.2000000000000002</v>
      </c>
      <c r="F38">
        <f t="shared" si="3"/>
        <v>0.98783178953570216</v>
      </c>
      <c r="G38">
        <f t="shared" si="6"/>
        <v>44.901444978895547</v>
      </c>
      <c r="H38">
        <f t="shared" si="4"/>
        <v>45.889276768431252</v>
      </c>
    </row>
    <row r="39" spans="1:8" x14ac:dyDescent="0.3">
      <c r="A39" s="1">
        <v>45321</v>
      </c>
      <c r="B39" s="2">
        <f t="shared" si="0"/>
        <v>22</v>
      </c>
      <c r="C39">
        <f t="shared" si="5"/>
        <v>0.11</v>
      </c>
      <c r="D39">
        <f t="shared" si="1"/>
        <v>2.2000000000000002</v>
      </c>
      <c r="E39">
        <f t="shared" si="2"/>
        <v>2.2000000000000002</v>
      </c>
      <c r="F39">
        <f t="shared" si="3"/>
        <v>1.0095640889054875</v>
      </c>
      <c r="G39">
        <f t="shared" si="6"/>
        <v>45.889276768431252</v>
      </c>
      <c r="H39">
        <f t="shared" si="4"/>
        <v>46.898840857336737</v>
      </c>
    </row>
    <row r="40" spans="1:8" x14ac:dyDescent="0.3">
      <c r="A40" s="1">
        <v>45322</v>
      </c>
      <c r="B40" s="2">
        <f t="shared" si="0"/>
        <v>22.5</v>
      </c>
      <c r="C40">
        <f t="shared" si="5"/>
        <v>0.11</v>
      </c>
      <c r="D40">
        <f t="shared" si="1"/>
        <v>2.2000000000000002</v>
      </c>
      <c r="E40">
        <f t="shared" si="2"/>
        <v>2.2000000000000002</v>
      </c>
      <c r="F40">
        <f t="shared" si="3"/>
        <v>1.0317744988614084</v>
      </c>
      <c r="G40">
        <f t="shared" si="6"/>
        <v>46.898840857336737</v>
      </c>
      <c r="H40">
        <f t="shared" si="4"/>
        <v>47.930615356198146</v>
      </c>
    </row>
    <row r="41" spans="1:8" x14ac:dyDescent="0.3">
      <c r="A41" s="1">
        <v>45323</v>
      </c>
      <c r="B41" s="2">
        <f t="shared" si="0"/>
        <v>23</v>
      </c>
      <c r="C41">
        <f t="shared" si="5"/>
        <v>0.25</v>
      </c>
      <c r="D41">
        <f t="shared" si="1"/>
        <v>5</v>
      </c>
      <c r="E41">
        <f t="shared" si="2"/>
        <v>5</v>
      </c>
      <c r="F41">
        <f t="shared" si="3"/>
        <v>2.3965307678099075</v>
      </c>
      <c r="G41">
        <f t="shared" si="6"/>
        <v>47.930615356198146</v>
      </c>
      <c r="H41">
        <f t="shared" si="4"/>
        <v>50.327146124008053</v>
      </c>
    </row>
    <row r="42" spans="1:8" x14ac:dyDescent="0.3">
      <c r="A42" s="1">
        <v>45324</v>
      </c>
      <c r="B42" s="2">
        <f t="shared" si="0"/>
        <v>23.5</v>
      </c>
      <c r="C42">
        <f t="shared" si="5"/>
        <v>0.39</v>
      </c>
      <c r="D42">
        <f t="shared" si="1"/>
        <v>7.8000000000000007</v>
      </c>
      <c r="E42">
        <f t="shared" si="2"/>
        <v>7.8000000000000007</v>
      </c>
      <c r="F42">
        <f t="shared" si="3"/>
        <v>3.9255173976726287</v>
      </c>
      <c r="G42">
        <f t="shared" si="6"/>
        <v>50.327146124008053</v>
      </c>
      <c r="H42">
        <f t="shared" si="4"/>
        <v>54.252663521680681</v>
      </c>
    </row>
    <row r="43" spans="1:8" x14ac:dyDescent="0.3">
      <c r="A43" s="1">
        <v>45325</v>
      </c>
      <c r="B43" s="2">
        <f t="shared" si="0"/>
        <v>24</v>
      </c>
      <c r="C43">
        <f t="shared" si="5"/>
        <v>0.39</v>
      </c>
      <c r="D43">
        <f t="shared" si="1"/>
        <v>7.8000000000000007</v>
      </c>
      <c r="E43">
        <f t="shared" si="2"/>
        <v>7.8000000000000007</v>
      </c>
      <c r="F43">
        <f t="shared" si="3"/>
        <v>4.2317077546910937</v>
      </c>
      <c r="G43">
        <f t="shared" si="6"/>
        <v>54.252663521680681</v>
      </c>
      <c r="H43">
        <f t="shared" si="4"/>
        <v>58.484371276371775</v>
      </c>
    </row>
    <row r="44" spans="1:8" x14ac:dyDescent="0.3">
      <c r="A44" s="1">
        <v>45326</v>
      </c>
      <c r="B44" s="2">
        <f t="shared" si="0"/>
        <v>24.5</v>
      </c>
      <c r="C44">
        <f t="shared" si="5"/>
        <v>0.39</v>
      </c>
      <c r="D44">
        <f t="shared" si="1"/>
        <v>7.8000000000000007</v>
      </c>
      <c r="E44">
        <f t="shared" si="2"/>
        <v>7.8000000000000007</v>
      </c>
      <c r="F44">
        <f t="shared" si="3"/>
        <v>4.5617809595569989</v>
      </c>
      <c r="G44">
        <f t="shared" si="6"/>
        <v>58.484371276371775</v>
      </c>
      <c r="H44">
        <f t="shared" si="4"/>
        <v>63.046152235928773</v>
      </c>
    </row>
    <row r="45" spans="1:8" x14ac:dyDescent="0.3">
      <c r="A45" s="1">
        <v>45327</v>
      </c>
      <c r="B45" s="2">
        <f t="shared" si="0"/>
        <v>25</v>
      </c>
      <c r="C45">
        <f t="shared" si="5"/>
        <v>0.53</v>
      </c>
      <c r="D45">
        <f t="shared" si="1"/>
        <v>10.600000000000001</v>
      </c>
      <c r="E45">
        <f t="shared" si="2"/>
        <v>-9.3999999999999986</v>
      </c>
      <c r="F45">
        <f t="shared" si="3"/>
        <v>-5.9263383101773037</v>
      </c>
      <c r="G45">
        <f t="shared" si="6"/>
        <v>63.046152235928773</v>
      </c>
      <c r="H45">
        <f t="shared" si="4"/>
        <v>57.119813925751473</v>
      </c>
    </row>
    <row r="46" spans="1:8" x14ac:dyDescent="0.3">
      <c r="A46" s="1">
        <v>45328</v>
      </c>
      <c r="B46" s="2">
        <f t="shared" si="0"/>
        <v>25.5</v>
      </c>
      <c r="C46">
        <f t="shared" si="5"/>
        <v>0.67</v>
      </c>
      <c r="D46">
        <f t="shared" si="1"/>
        <v>13.4</v>
      </c>
      <c r="E46">
        <f t="shared" si="2"/>
        <v>-6.6</v>
      </c>
      <c r="F46">
        <f t="shared" si="3"/>
        <v>-3.7699077190995975</v>
      </c>
      <c r="G46">
        <f t="shared" si="6"/>
        <v>57.119813925751473</v>
      </c>
      <c r="H46">
        <f t="shared" si="4"/>
        <v>53.349906206651873</v>
      </c>
    </row>
    <row r="47" spans="1:8" x14ac:dyDescent="0.3">
      <c r="A47" s="1">
        <v>45329</v>
      </c>
      <c r="B47" s="2">
        <f t="shared" si="0"/>
        <v>26</v>
      </c>
      <c r="C47">
        <f t="shared" si="5"/>
        <v>0.67</v>
      </c>
      <c r="D47">
        <f t="shared" si="1"/>
        <v>13.4</v>
      </c>
      <c r="E47">
        <f t="shared" si="2"/>
        <v>-6.6</v>
      </c>
      <c r="F47">
        <f t="shared" si="3"/>
        <v>-3.5210938096390239</v>
      </c>
      <c r="G47">
        <f t="shared" si="6"/>
        <v>53.349906206651873</v>
      </c>
      <c r="H47">
        <f t="shared" si="4"/>
        <v>49.828812397012847</v>
      </c>
    </row>
    <row r="48" spans="1:8" x14ac:dyDescent="0.3">
      <c r="A48" s="1">
        <v>45330</v>
      </c>
      <c r="B48" s="2">
        <f t="shared" si="0"/>
        <v>26.5</v>
      </c>
      <c r="C48">
        <f t="shared" si="5"/>
        <v>0.67</v>
      </c>
      <c r="D48">
        <f t="shared" si="1"/>
        <v>13.4</v>
      </c>
      <c r="E48">
        <f t="shared" si="2"/>
        <v>-6.6</v>
      </c>
      <c r="F48">
        <f t="shared" si="3"/>
        <v>-3.2887016182028481</v>
      </c>
      <c r="G48">
        <f t="shared" si="6"/>
        <v>49.828812397012847</v>
      </c>
      <c r="H48">
        <f t="shared" si="4"/>
        <v>46.540110778809996</v>
      </c>
    </row>
    <row r="49" spans="1:8" x14ac:dyDescent="0.3">
      <c r="A49" s="1">
        <v>45331</v>
      </c>
      <c r="B49" s="2">
        <f t="shared" si="0"/>
        <v>27</v>
      </c>
      <c r="C49">
        <f t="shared" si="5"/>
        <v>0.82</v>
      </c>
      <c r="D49">
        <f t="shared" si="1"/>
        <v>16.399999999999999</v>
      </c>
      <c r="E49">
        <f t="shared" si="2"/>
        <v>-3.6000000000000014</v>
      </c>
      <c r="F49">
        <f t="shared" si="3"/>
        <v>-1.6754439880371603</v>
      </c>
      <c r="G49">
        <f t="shared" si="6"/>
        <v>46.540110778809996</v>
      </c>
      <c r="H49">
        <f t="shared" si="4"/>
        <v>44.864666790772837</v>
      </c>
    </row>
    <row r="50" spans="1:8" x14ac:dyDescent="0.3">
      <c r="A50" s="1">
        <v>45332</v>
      </c>
      <c r="B50" s="2">
        <f t="shared" si="0"/>
        <v>27.5</v>
      </c>
      <c r="C50">
        <f t="shared" si="5"/>
        <v>0.96</v>
      </c>
      <c r="D50">
        <f t="shared" si="1"/>
        <v>19.2</v>
      </c>
      <c r="E50">
        <f t="shared" si="2"/>
        <v>-0.80000000000000071</v>
      </c>
      <c r="F50">
        <f t="shared" si="3"/>
        <v>-0.358917334326183</v>
      </c>
      <c r="G50">
        <f t="shared" si="6"/>
        <v>44.864666790772837</v>
      </c>
      <c r="H50">
        <f t="shared" si="4"/>
        <v>44.505749456446651</v>
      </c>
    </row>
    <row r="51" spans="1:8" x14ac:dyDescent="0.3">
      <c r="A51" s="1">
        <v>45333</v>
      </c>
      <c r="B51" s="2">
        <f t="shared" si="0"/>
        <v>28</v>
      </c>
      <c r="C51">
        <f t="shared" si="5"/>
        <v>0.96</v>
      </c>
      <c r="D51">
        <f t="shared" si="1"/>
        <v>19.2</v>
      </c>
      <c r="E51">
        <f t="shared" si="2"/>
        <v>-0.80000000000000071</v>
      </c>
      <c r="F51">
        <f t="shared" si="3"/>
        <v>-0.35604599565157352</v>
      </c>
      <c r="G51">
        <f t="shared" si="6"/>
        <v>44.505749456446651</v>
      </c>
      <c r="H51">
        <f t="shared" si="4"/>
        <v>44.149703460795081</v>
      </c>
    </row>
    <row r="52" spans="1:8" x14ac:dyDescent="0.3">
      <c r="A52" s="1">
        <v>45334</v>
      </c>
      <c r="B52" s="2">
        <f t="shared" si="0"/>
        <v>28.5</v>
      </c>
      <c r="C52">
        <f t="shared" si="5"/>
        <v>0.96</v>
      </c>
      <c r="D52">
        <f t="shared" si="1"/>
        <v>19.2</v>
      </c>
      <c r="E52">
        <f t="shared" si="2"/>
        <v>-0.80000000000000071</v>
      </c>
      <c r="F52">
        <f t="shared" si="3"/>
        <v>-0.35319762768636098</v>
      </c>
      <c r="G52">
        <f t="shared" si="6"/>
        <v>44.149703460795081</v>
      </c>
      <c r="H52">
        <f t="shared" si="4"/>
        <v>43.796505833108718</v>
      </c>
    </row>
    <row r="53" spans="1:8" x14ac:dyDescent="0.3">
      <c r="A53" s="1">
        <v>45335</v>
      </c>
      <c r="B53" s="2">
        <f t="shared" si="0"/>
        <v>29</v>
      </c>
      <c r="C53">
        <f t="shared" si="5"/>
        <v>0.1</v>
      </c>
      <c r="D53">
        <f t="shared" si="1"/>
        <v>2</v>
      </c>
      <c r="E53">
        <f t="shared" si="2"/>
        <v>2</v>
      </c>
      <c r="F53">
        <f t="shared" si="3"/>
        <v>0.87593011666217435</v>
      </c>
      <c r="G53">
        <f t="shared" si="6"/>
        <v>43.796505833108718</v>
      </c>
      <c r="H53">
        <f t="shared" si="4"/>
        <v>44.672435949770893</v>
      </c>
    </row>
    <row r="54" spans="1:8" x14ac:dyDescent="0.3">
      <c r="A54" s="1">
        <v>45336</v>
      </c>
      <c r="B54" s="2">
        <f t="shared" si="0"/>
        <v>29.5</v>
      </c>
      <c r="C54">
        <f t="shared" si="5"/>
        <v>0.24</v>
      </c>
      <c r="D54">
        <f t="shared" si="1"/>
        <v>4.8</v>
      </c>
      <c r="E54">
        <f t="shared" si="2"/>
        <v>4.8</v>
      </c>
      <c r="F54">
        <f t="shared" si="3"/>
        <v>2.1442769255890028</v>
      </c>
      <c r="G54">
        <f t="shared" si="6"/>
        <v>44.672435949770893</v>
      </c>
      <c r="H54">
        <f t="shared" si="4"/>
        <v>46.816712875359897</v>
      </c>
    </row>
    <row r="55" spans="1:8" x14ac:dyDescent="0.3">
      <c r="A55" s="1">
        <v>45337</v>
      </c>
      <c r="B55" s="2">
        <f t="shared" si="0"/>
        <v>30</v>
      </c>
      <c r="C55">
        <f t="shared" si="5"/>
        <v>0.24</v>
      </c>
      <c r="D55">
        <f t="shared" si="1"/>
        <v>4.8</v>
      </c>
      <c r="E55">
        <f t="shared" si="2"/>
        <v>4.8</v>
      </c>
      <c r="F55">
        <f t="shared" si="3"/>
        <v>2.247202218017275</v>
      </c>
      <c r="G55">
        <f t="shared" si="6"/>
        <v>46.816712875359897</v>
      </c>
      <c r="H55">
        <f t="shared" si="4"/>
        <v>49.063915093377176</v>
      </c>
    </row>
    <row r="56" spans="1:8" x14ac:dyDescent="0.3">
      <c r="A56" s="1">
        <v>45338</v>
      </c>
      <c r="B56" s="2">
        <f t="shared" si="0"/>
        <v>30.5</v>
      </c>
      <c r="C56">
        <f t="shared" si="5"/>
        <v>0.24</v>
      </c>
      <c r="D56">
        <f t="shared" si="1"/>
        <v>4.8</v>
      </c>
      <c r="E56">
        <f t="shared" si="2"/>
        <v>4.8</v>
      </c>
      <c r="F56">
        <f t="shared" si="3"/>
        <v>2.3550679244821047</v>
      </c>
      <c r="G56">
        <f t="shared" si="6"/>
        <v>49.063915093377176</v>
      </c>
      <c r="H56">
        <f t="shared" si="4"/>
        <v>51.418983017859283</v>
      </c>
    </row>
    <row r="57" spans="1:8" x14ac:dyDescent="0.3">
      <c r="A57" s="1">
        <v>45339</v>
      </c>
      <c r="B57" s="2">
        <f t="shared" si="0"/>
        <v>31</v>
      </c>
      <c r="C57">
        <f t="shared" si="5"/>
        <v>0.38</v>
      </c>
      <c r="D57">
        <f t="shared" si="1"/>
        <v>7.6</v>
      </c>
      <c r="E57">
        <f t="shared" si="2"/>
        <v>7.6</v>
      </c>
      <c r="F57">
        <f t="shared" si="3"/>
        <v>3.9078427093573054</v>
      </c>
      <c r="G57">
        <f t="shared" si="6"/>
        <v>51.418983017859283</v>
      </c>
      <c r="H57">
        <f t="shared" si="4"/>
        <v>55.326825727216587</v>
      </c>
    </row>
    <row r="58" spans="1:8" x14ac:dyDescent="0.3">
      <c r="A58" s="1">
        <v>45340</v>
      </c>
      <c r="B58" s="2">
        <f t="shared" si="0"/>
        <v>31.5</v>
      </c>
      <c r="C58">
        <f t="shared" si="5"/>
        <v>0.52</v>
      </c>
      <c r="D58">
        <f t="shared" si="1"/>
        <v>10.4</v>
      </c>
      <c r="E58">
        <f t="shared" si="2"/>
        <v>-9.6</v>
      </c>
      <c r="F58">
        <f t="shared" si="3"/>
        <v>-5.3113752698127925</v>
      </c>
      <c r="G58">
        <f t="shared" si="6"/>
        <v>55.326825727216587</v>
      </c>
      <c r="H58">
        <f t="shared" si="4"/>
        <v>50.015450457403794</v>
      </c>
    </row>
    <row r="59" spans="1:8" x14ac:dyDescent="0.3">
      <c r="A59" s="1">
        <v>45341</v>
      </c>
      <c r="B59" s="2">
        <f t="shared" si="0"/>
        <v>32</v>
      </c>
      <c r="C59">
        <f t="shared" si="5"/>
        <v>0.52</v>
      </c>
      <c r="D59">
        <f t="shared" si="1"/>
        <v>10.4</v>
      </c>
      <c r="E59">
        <f t="shared" si="2"/>
        <v>-9.6</v>
      </c>
      <c r="F59">
        <f t="shared" si="3"/>
        <v>-4.8014832439107646</v>
      </c>
      <c r="G59">
        <f t="shared" si="6"/>
        <v>50.015450457403794</v>
      </c>
      <c r="H59">
        <f t="shared" si="4"/>
        <v>45.213967213493028</v>
      </c>
    </row>
    <row r="60" spans="1:8" x14ac:dyDescent="0.3">
      <c r="A60" s="1">
        <v>45342</v>
      </c>
      <c r="B60" s="2">
        <f t="shared" si="0"/>
        <v>32.5</v>
      </c>
      <c r="C60">
        <f t="shared" si="5"/>
        <v>0.52</v>
      </c>
      <c r="D60">
        <f t="shared" si="1"/>
        <v>10.4</v>
      </c>
      <c r="E60">
        <f t="shared" si="2"/>
        <v>-9.6</v>
      </c>
      <c r="F60">
        <f t="shared" si="3"/>
        <v>-4.3405408524953311</v>
      </c>
      <c r="G60">
        <f t="shared" si="6"/>
        <v>45.213967213493028</v>
      </c>
      <c r="H60">
        <f t="shared" si="4"/>
        <v>40.873426360997698</v>
      </c>
    </row>
    <row r="61" spans="1:8" x14ac:dyDescent="0.3">
      <c r="A61" s="1">
        <v>45343</v>
      </c>
      <c r="B61" s="2">
        <f t="shared" si="0"/>
        <v>33</v>
      </c>
      <c r="C61">
        <f t="shared" si="5"/>
        <v>0.66</v>
      </c>
      <c r="D61">
        <f t="shared" si="1"/>
        <v>13.200000000000001</v>
      </c>
      <c r="E61">
        <f t="shared" si="2"/>
        <v>-6.7999999999999989</v>
      </c>
      <c r="F61">
        <f t="shared" si="3"/>
        <v>-2.7793929925478431</v>
      </c>
      <c r="G61">
        <f t="shared" si="6"/>
        <v>40.873426360997698</v>
      </c>
      <c r="H61">
        <f t="shared" si="4"/>
        <v>38.094033368449857</v>
      </c>
    </row>
    <row r="62" spans="1:8" x14ac:dyDescent="0.3">
      <c r="A62" s="1">
        <v>45344</v>
      </c>
      <c r="B62" s="2">
        <f t="shared" si="0"/>
        <v>33.5</v>
      </c>
      <c r="C62">
        <f t="shared" si="5"/>
        <v>0.8</v>
      </c>
      <c r="D62">
        <f t="shared" si="1"/>
        <v>16</v>
      </c>
      <c r="E62">
        <f t="shared" si="2"/>
        <v>-4</v>
      </c>
      <c r="F62">
        <f t="shared" si="3"/>
        <v>-1.5237613347379944</v>
      </c>
      <c r="G62">
        <f t="shared" si="6"/>
        <v>38.094033368449857</v>
      </c>
      <c r="H62">
        <f t="shared" si="4"/>
        <v>36.570272033711859</v>
      </c>
    </row>
    <row r="63" spans="1:8" x14ac:dyDescent="0.3">
      <c r="A63" s="1">
        <v>45345</v>
      </c>
      <c r="B63" s="2">
        <f t="shared" si="0"/>
        <v>34</v>
      </c>
      <c r="C63">
        <f t="shared" si="5"/>
        <v>0.8</v>
      </c>
      <c r="D63">
        <f t="shared" si="1"/>
        <v>16</v>
      </c>
      <c r="E63">
        <f t="shared" si="2"/>
        <v>-4</v>
      </c>
      <c r="F63">
        <f t="shared" si="3"/>
        <v>-1.4628108813484744</v>
      </c>
      <c r="G63">
        <f t="shared" si="6"/>
        <v>36.570272033711859</v>
      </c>
      <c r="H63">
        <f t="shared" si="4"/>
        <v>35.107461152363385</v>
      </c>
    </row>
    <row r="64" spans="1:8" x14ac:dyDescent="0.3">
      <c r="A64" s="1">
        <v>45346</v>
      </c>
      <c r="B64" s="2">
        <f t="shared" si="0"/>
        <v>34.5</v>
      </c>
      <c r="C64">
        <f t="shared" si="5"/>
        <v>0.8</v>
      </c>
      <c r="D64">
        <f t="shared" si="1"/>
        <v>16</v>
      </c>
      <c r="E64">
        <f t="shared" si="2"/>
        <v>-4</v>
      </c>
      <c r="F64">
        <f t="shared" si="3"/>
        <v>-1.4042984460945354</v>
      </c>
      <c r="G64">
        <f t="shared" si="6"/>
        <v>35.107461152363385</v>
      </c>
      <c r="H64">
        <f t="shared" si="4"/>
        <v>33.703162706268849</v>
      </c>
    </row>
    <row r="65" spans="1:8" x14ac:dyDescent="0.3">
      <c r="A65" s="1">
        <v>45347</v>
      </c>
      <c r="B65" s="2">
        <f t="shared" si="0"/>
        <v>35</v>
      </c>
      <c r="C65">
        <f t="shared" si="5"/>
        <v>0.94</v>
      </c>
      <c r="D65">
        <f t="shared" si="1"/>
        <v>18.799999999999997</v>
      </c>
      <c r="E65">
        <f t="shared" si="2"/>
        <v>-1.2000000000000028</v>
      </c>
      <c r="F65">
        <f t="shared" si="3"/>
        <v>-0.40443795247522712</v>
      </c>
      <c r="G65">
        <f t="shared" si="6"/>
        <v>33.703162706268849</v>
      </c>
      <c r="H65">
        <f t="shared" si="4"/>
        <v>33.298724753793621</v>
      </c>
    </row>
    <row r="66" spans="1:8" x14ac:dyDescent="0.3">
      <c r="A66" s="1">
        <v>45348</v>
      </c>
      <c r="B66" s="2">
        <f t="shared" si="0"/>
        <v>35.5</v>
      </c>
      <c r="C66">
        <f t="shared" si="5"/>
        <v>0.08</v>
      </c>
      <c r="D66">
        <f t="shared" si="1"/>
        <v>1.6</v>
      </c>
      <c r="E66">
        <f t="shared" si="2"/>
        <v>1.6</v>
      </c>
      <c r="F66">
        <f t="shared" si="3"/>
        <v>0.53277959606069791</v>
      </c>
      <c r="G66">
        <f t="shared" si="6"/>
        <v>33.298724753793621</v>
      </c>
      <c r="H66">
        <f t="shared" si="4"/>
        <v>33.83150434985432</v>
      </c>
    </row>
    <row r="67" spans="1:8" x14ac:dyDescent="0.3">
      <c r="A67" s="1">
        <v>45349</v>
      </c>
      <c r="B67" s="2">
        <f t="shared" si="0"/>
        <v>36</v>
      </c>
      <c r="C67">
        <f t="shared" si="5"/>
        <v>0.08</v>
      </c>
      <c r="D67">
        <f t="shared" si="1"/>
        <v>1.6</v>
      </c>
      <c r="E67">
        <f t="shared" si="2"/>
        <v>1.6</v>
      </c>
      <c r="F67">
        <f t="shared" si="3"/>
        <v>0.54130406959766919</v>
      </c>
      <c r="G67">
        <f t="shared" si="6"/>
        <v>33.83150434985432</v>
      </c>
      <c r="H67">
        <f t="shared" si="4"/>
        <v>34.372808419451992</v>
      </c>
    </row>
    <row r="68" spans="1:8" x14ac:dyDescent="0.3">
      <c r="A68" s="1">
        <v>45350</v>
      </c>
      <c r="B68" s="2">
        <f t="shared" si="0"/>
        <v>36.5</v>
      </c>
      <c r="C68">
        <f t="shared" si="5"/>
        <v>0.08</v>
      </c>
      <c r="D68">
        <f t="shared" si="1"/>
        <v>1.6</v>
      </c>
      <c r="E68">
        <f t="shared" si="2"/>
        <v>1.6</v>
      </c>
      <c r="F68">
        <f t="shared" si="3"/>
        <v>0.54996493471123187</v>
      </c>
      <c r="G68">
        <f t="shared" si="6"/>
        <v>34.372808419451992</v>
      </c>
      <c r="H68">
        <f t="shared" si="4"/>
        <v>34.922773354163226</v>
      </c>
    </row>
    <row r="69" spans="1:8" x14ac:dyDescent="0.3">
      <c r="A69" s="1">
        <v>45351</v>
      </c>
      <c r="B69" s="2">
        <f t="shared" si="0"/>
        <v>37</v>
      </c>
      <c r="C69">
        <f t="shared" si="5"/>
        <v>0.22</v>
      </c>
      <c r="D69">
        <f t="shared" si="1"/>
        <v>4.4000000000000004</v>
      </c>
      <c r="E69">
        <f t="shared" si="2"/>
        <v>4.4000000000000004</v>
      </c>
      <c r="F69">
        <f t="shared" si="3"/>
        <v>1.5366020275831822</v>
      </c>
      <c r="G69">
        <f t="shared" si="6"/>
        <v>34.922773354163226</v>
      </c>
      <c r="H69">
        <f t="shared" si="4"/>
        <v>36.459375381746412</v>
      </c>
    </row>
    <row r="70" spans="1:8" x14ac:dyDescent="0.3">
      <c r="A70" s="1">
        <v>45352</v>
      </c>
      <c r="B70" s="2">
        <f t="shared" si="0"/>
        <v>37.5</v>
      </c>
      <c r="C70">
        <f t="shared" si="5"/>
        <v>0.36</v>
      </c>
      <c r="D70">
        <f t="shared" si="1"/>
        <v>7.1999999999999993</v>
      </c>
      <c r="E70">
        <f t="shared" si="2"/>
        <v>7.1999999999999993</v>
      </c>
      <c r="F70">
        <f t="shared" si="3"/>
        <v>2.6250750274857415</v>
      </c>
      <c r="G70">
        <f t="shared" si="6"/>
        <v>36.459375381746412</v>
      </c>
      <c r="H70">
        <f t="shared" si="4"/>
        <v>39.084450409232154</v>
      </c>
    </row>
    <row r="71" spans="1:8" x14ac:dyDescent="0.3">
      <c r="A71" s="1">
        <v>45353</v>
      </c>
      <c r="B71" s="2">
        <f t="shared" si="0"/>
        <v>38</v>
      </c>
      <c r="C71">
        <f t="shared" si="5"/>
        <v>0.36</v>
      </c>
      <c r="D71">
        <f t="shared" si="1"/>
        <v>7.1999999999999993</v>
      </c>
      <c r="E71">
        <f t="shared" si="2"/>
        <v>7.1999999999999993</v>
      </c>
      <c r="F71">
        <f t="shared" si="3"/>
        <v>2.814080429464715</v>
      </c>
      <c r="G71">
        <f t="shared" si="6"/>
        <v>39.084450409232154</v>
      </c>
      <c r="H71">
        <f t="shared" si="4"/>
        <v>41.898530838696871</v>
      </c>
    </row>
    <row r="72" spans="1:8" x14ac:dyDescent="0.3">
      <c r="A72" s="1">
        <v>45354</v>
      </c>
      <c r="B72" s="2">
        <f t="shared" si="0"/>
        <v>38.5</v>
      </c>
      <c r="C72">
        <f t="shared" si="5"/>
        <v>0.36</v>
      </c>
      <c r="D72">
        <f t="shared" si="1"/>
        <v>7.1999999999999993</v>
      </c>
      <c r="E72">
        <f t="shared" si="2"/>
        <v>7.1999999999999993</v>
      </c>
      <c r="F72">
        <f t="shared" si="3"/>
        <v>3.0166942203861744</v>
      </c>
      <c r="G72">
        <f t="shared" si="6"/>
        <v>41.898530838696871</v>
      </c>
      <c r="H72">
        <f t="shared" si="4"/>
        <v>44.915225059083042</v>
      </c>
    </row>
    <row r="73" spans="1:8" x14ac:dyDescent="0.3">
      <c r="A73" s="1">
        <v>45355</v>
      </c>
      <c r="B73" s="2">
        <f t="shared" si="0"/>
        <v>39</v>
      </c>
      <c r="C73">
        <f t="shared" si="5"/>
        <v>0.5</v>
      </c>
      <c r="D73">
        <f t="shared" si="1"/>
        <v>10</v>
      </c>
      <c r="E73">
        <f t="shared" si="2"/>
        <v>10</v>
      </c>
      <c r="F73">
        <f t="shared" si="3"/>
        <v>4.4915225059083044</v>
      </c>
      <c r="G73">
        <f t="shared" si="6"/>
        <v>44.915225059083042</v>
      </c>
      <c r="H73">
        <f t="shared" si="4"/>
        <v>49.406747564991349</v>
      </c>
    </row>
    <row r="74" spans="1:8" x14ac:dyDescent="0.3">
      <c r="A74" s="1">
        <v>45356</v>
      </c>
      <c r="B74" s="2">
        <f t="shared" si="0"/>
        <v>39.5</v>
      </c>
      <c r="C74">
        <f t="shared" si="5"/>
        <v>0.64</v>
      </c>
      <c r="D74">
        <f t="shared" si="1"/>
        <v>12.8</v>
      </c>
      <c r="E74">
        <f t="shared" si="2"/>
        <v>-7.1999999999999993</v>
      </c>
      <c r="F74">
        <f t="shared" si="3"/>
        <v>-3.557285824679377</v>
      </c>
      <c r="G74">
        <f t="shared" si="6"/>
        <v>49.406747564991349</v>
      </c>
      <c r="H74">
        <f t="shared" si="4"/>
        <v>45.849461740311973</v>
      </c>
    </row>
    <row r="75" spans="1:8" x14ac:dyDescent="0.3">
      <c r="A75" s="1">
        <v>45357</v>
      </c>
      <c r="B75" s="2">
        <f t="shared" ref="B75:B138" si="7">(ROW()+5)/2</f>
        <v>40</v>
      </c>
      <c r="C75">
        <f t="shared" ref="C75:C138" si="8">ROUND(ImprovedSeededRandom($B$7,B75),2)</f>
        <v>0.64</v>
      </c>
      <c r="D75">
        <f t="shared" ref="D75:D138" si="9">$B$6*$B$5*C75</f>
        <v>12.8</v>
      </c>
      <c r="E75">
        <f t="shared" ref="E75:E138" si="10">IF(D75&gt;$B$5,D75-(2*$B$5),D75)</f>
        <v>-7.1999999999999993</v>
      </c>
      <c r="F75">
        <f t="shared" ref="F75:F138" si="11">G75*(E75/100)</f>
        <v>-3.3011612453024619</v>
      </c>
      <c r="G75">
        <f t="shared" si="6"/>
        <v>45.849461740311973</v>
      </c>
      <c r="H75">
        <f t="shared" ref="H75:H138" si="12">G75+F75</f>
        <v>42.548300495009514</v>
      </c>
    </row>
    <row r="76" spans="1:8" x14ac:dyDescent="0.3">
      <c r="A76" s="1">
        <v>45358</v>
      </c>
      <c r="B76" s="2">
        <f t="shared" si="7"/>
        <v>40.5</v>
      </c>
      <c r="C76">
        <f t="shared" si="8"/>
        <v>0.64</v>
      </c>
      <c r="D76">
        <f t="shared" si="9"/>
        <v>12.8</v>
      </c>
      <c r="E76">
        <f t="shared" si="10"/>
        <v>-7.1999999999999993</v>
      </c>
      <c r="F76">
        <f t="shared" si="11"/>
        <v>-3.0634776356406848</v>
      </c>
      <c r="G76">
        <f t="shared" ref="G76:G139" si="13">H75</f>
        <v>42.548300495009514</v>
      </c>
      <c r="H76">
        <f t="shared" si="12"/>
        <v>39.484822859368826</v>
      </c>
    </row>
    <row r="77" spans="1:8" x14ac:dyDescent="0.3">
      <c r="A77" s="1">
        <v>45359</v>
      </c>
      <c r="B77" s="2">
        <f t="shared" si="7"/>
        <v>41</v>
      </c>
      <c r="C77">
        <f t="shared" si="8"/>
        <v>0.78</v>
      </c>
      <c r="D77">
        <f t="shared" si="9"/>
        <v>15.600000000000001</v>
      </c>
      <c r="E77">
        <f t="shared" si="10"/>
        <v>-4.3999999999999986</v>
      </c>
      <c r="F77">
        <f t="shared" si="11"/>
        <v>-1.7373322058122278</v>
      </c>
      <c r="G77">
        <f t="shared" si="13"/>
        <v>39.484822859368826</v>
      </c>
      <c r="H77">
        <f t="shared" si="12"/>
        <v>37.747490653556596</v>
      </c>
    </row>
    <row r="78" spans="1:8" x14ac:dyDescent="0.3">
      <c r="A78" s="1">
        <v>45360</v>
      </c>
      <c r="B78" s="2">
        <f t="shared" si="7"/>
        <v>41.5</v>
      </c>
      <c r="C78">
        <f t="shared" si="8"/>
        <v>0.92</v>
      </c>
      <c r="D78">
        <f t="shared" si="9"/>
        <v>18.400000000000002</v>
      </c>
      <c r="E78">
        <f t="shared" si="10"/>
        <v>-1.5999999999999979</v>
      </c>
      <c r="F78">
        <f t="shared" si="11"/>
        <v>-0.60395985045690481</v>
      </c>
      <c r="G78">
        <f t="shared" si="13"/>
        <v>37.747490653556596</v>
      </c>
      <c r="H78">
        <f t="shared" si="12"/>
        <v>37.143530803099694</v>
      </c>
    </row>
    <row r="79" spans="1:8" x14ac:dyDescent="0.3">
      <c r="A79" s="1">
        <v>45361</v>
      </c>
      <c r="B79" s="2">
        <f t="shared" si="7"/>
        <v>42</v>
      </c>
      <c r="C79">
        <f t="shared" si="8"/>
        <v>0.92</v>
      </c>
      <c r="D79">
        <f t="shared" si="9"/>
        <v>18.400000000000002</v>
      </c>
      <c r="E79">
        <f t="shared" si="10"/>
        <v>-1.5999999999999979</v>
      </c>
      <c r="F79">
        <f t="shared" si="11"/>
        <v>-0.59429649284959429</v>
      </c>
      <c r="G79">
        <f t="shared" si="13"/>
        <v>37.143530803099694</v>
      </c>
      <c r="H79">
        <f t="shared" si="12"/>
        <v>36.5492343102501</v>
      </c>
    </row>
    <row r="80" spans="1:8" x14ac:dyDescent="0.3">
      <c r="A80" s="1">
        <v>45362</v>
      </c>
      <c r="B80" s="2">
        <f t="shared" si="7"/>
        <v>42.5</v>
      </c>
      <c r="C80">
        <f t="shared" si="8"/>
        <v>0.92</v>
      </c>
      <c r="D80">
        <f t="shared" si="9"/>
        <v>18.400000000000002</v>
      </c>
      <c r="E80">
        <f t="shared" si="10"/>
        <v>-1.5999999999999979</v>
      </c>
      <c r="F80">
        <f t="shared" si="11"/>
        <v>-0.58478774896400088</v>
      </c>
      <c r="G80">
        <f t="shared" si="13"/>
        <v>36.5492343102501</v>
      </c>
      <c r="H80">
        <f t="shared" si="12"/>
        <v>35.964446561286096</v>
      </c>
    </row>
    <row r="81" spans="1:8" x14ac:dyDescent="0.3">
      <c r="A81" s="1">
        <v>45363</v>
      </c>
      <c r="B81" s="2">
        <f t="shared" si="7"/>
        <v>43</v>
      </c>
      <c r="C81">
        <f t="shared" si="8"/>
        <v>0.06</v>
      </c>
      <c r="D81">
        <f t="shared" si="9"/>
        <v>1.2</v>
      </c>
      <c r="E81">
        <f t="shared" si="10"/>
        <v>1.2</v>
      </c>
      <c r="F81">
        <f t="shared" si="11"/>
        <v>0.43157335873543318</v>
      </c>
      <c r="G81">
        <f t="shared" si="13"/>
        <v>35.964446561286096</v>
      </c>
      <c r="H81">
        <f t="shared" si="12"/>
        <v>36.39601992002153</v>
      </c>
    </row>
    <row r="82" spans="1:8" x14ac:dyDescent="0.3">
      <c r="A82" s="1">
        <v>45364</v>
      </c>
      <c r="B82" s="2">
        <f t="shared" si="7"/>
        <v>43.5</v>
      </c>
      <c r="C82">
        <f t="shared" si="8"/>
        <v>0.2</v>
      </c>
      <c r="D82">
        <f t="shared" si="9"/>
        <v>4</v>
      </c>
      <c r="E82">
        <f t="shared" si="10"/>
        <v>4</v>
      </c>
      <c r="F82">
        <f t="shared" si="11"/>
        <v>1.4558407968008613</v>
      </c>
      <c r="G82">
        <f t="shared" si="13"/>
        <v>36.39601992002153</v>
      </c>
      <c r="H82">
        <f t="shared" si="12"/>
        <v>37.851860716822394</v>
      </c>
    </row>
    <row r="83" spans="1:8" x14ac:dyDescent="0.3">
      <c r="A83" s="1">
        <v>45365</v>
      </c>
      <c r="B83" s="2">
        <f t="shared" si="7"/>
        <v>44</v>
      </c>
      <c r="C83">
        <f t="shared" si="8"/>
        <v>0.2</v>
      </c>
      <c r="D83">
        <f t="shared" si="9"/>
        <v>4</v>
      </c>
      <c r="E83">
        <f t="shared" si="10"/>
        <v>4</v>
      </c>
      <c r="F83">
        <f t="shared" si="11"/>
        <v>1.5140744286728958</v>
      </c>
      <c r="G83">
        <f t="shared" si="13"/>
        <v>37.851860716822394</v>
      </c>
      <c r="H83">
        <f t="shared" si="12"/>
        <v>39.365935145495293</v>
      </c>
    </row>
    <row r="84" spans="1:8" x14ac:dyDescent="0.3">
      <c r="A84" s="1">
        <v>45366</v>
      </c>
      <c r="B84" s="2">
        <f t="shared" si="7"/>
        <v>44.5</v>
      </c>
      <c r="C84">
        <f t="shared" si="8"/>
        <v>0.2</v>
      </c>
      <c r="D84">
        <f t="shared" si="9"/>
        <v>4</v>
      </c>
      <c r="E84">
        <f t="shared" si="10"/>
        <v>4</v>
      </c>
      <c r="F84">
        <f t="shared" si="11"/>
        <v>1.5746374058198118</v>
      </c>
      <c r="G84">
        <f t="shared" si="13"/>
        <v>39.365935145495293</v>
      </c>
      <c r="H84">
        <f t="shared" si="12"/>
        <v>40.940572551315107</v>
      </c>
    </row>
    <row r="85" spans="1:8" x14ac:dyDescent="0.3">
      <c r="A85" s="1">
        <v>45367</v>
      </c>
      <c r="B85" s="2">
        <f t="shared" si="7"/>
        <v>45</v>
      </c>
      <c r="C85">
        <f t="shared" si="8"/>
        <v>0.34</v>
      </c>
      <c r="D85">
        <f t="shared" si="9"/>
        <v>6.8000000000000007</v>
      </c>
      <c r="E85">
        <f t="shared" si="10"/>
        <v>6.8000000000000007</v>
      </c>
      <c r="F85">
        <f t="shared" si="11"/>
        <v>2.7839589334894272</v>
      </c>
      <c r="G85">
        <f t="shared" si="13"/>
        <v>40.940572551315107</v>
      </c>
      <c r="H85">
        <f t="shared" si="12"/>
        <v>43.724531484804537</v>
      </c>
    </row>
    <row r="86" spans="1:8" x14ac:dyDescent="0.3">
      <c r="A86" s="1">
        <v>45368</v>
      </c>
      <c r="B86" s="2">
        <f t="shared" si="7"/>
        <v>45.5</v>
      </c>
      <c r="C86">
        <f t="shared" si="8"/>
        <v>0.48</v>
      </c>
      <c r="D86">
        <f t="shared" si="9"/>
        <v>9.6</v>
      </c>
      <c r="E86">
        <f t="shared" si="10"/>
        <v>9.6</v>
      </c>
      <c r="F86">
        <f t="shared" si="11"/>
        <v>4.1975550225412359</v>
      </c>
      <c r="G86">
        <f t="shared" si="13"/>
        <v>43.724531484804537</v>
      </c>
      <c r="H86">
        <f t="shared" si="12"/>
        <v>47.922086507345774</v>
      </c>
    </row>
    <row r="87" spans="1:8" x14ac:dyDescent="0.3">
      <c r="A87" s="1">
        <v>45369</v>
      </c>
      <c r="B87" s="2">
        <f t="shared" si="7"/>
        <v>46</v>
      </c>
      <c r="C87">
        <f t="shared" si="8"/>
        <v>0.48</v>
      </c>
      <c r="D87">
        <f t="shared" si="9"/>
        <v>9.6</v>
      </c>
      <c r="E87">
        <f t="shared" si="10"/>
        <v>9.6</v>
      </c>
      <c r="F87">
        <f t="shared" si="11"/>
        <v>4.6005203047051948</v>
      </c>
      <c r="G87">
        <f t="shared" si="13"/>
        <v>47.922086507345774</v>
      </c>
      <c r="H87">
        <f t="shared" si="12"/>
        <v>52.522606812050967</v>
      </c>
    </row>
    <row r="88" spans="1:8" x14ac:dyDescent="0.3">
      <c r="A88" s="1">
        <v>45370</v>
      </c>
      <c r="B88" s="2">
        <f t="shared" si="7"/>
        <v>46.5</v>
      </c>
      <c r="C88">
        <f t="shared" si="8"/>
        <v>0.48</v>
      </c>
      <c r="D88">
        <f t="shared" si="9"/>
        <v>9.6</v>
      </c>
      <c r="E88">
        <f t="shared" si="10"/>
        <v>9.6</v>
      </c>
      <c r="F88">
        <f t="shared" si="11"/>
        <v>5.0421702539568933</v>
      </c>
      <c r="G88">
        <f t="shared" si="13"/>
        <v>52.522606812050967</v>
      </c>
      <c r="H88">
        <f t="shared" si="12"/>
        <v>57.564777066007863</v>
      </c>
    </row>
    <row r="89" spans="1:8" x14ac:dyDescent="0.3">
      <c r="A89" s="1">
        <v>45371</v>
      </c>
      <c r="B89" s="2">
        <f t="shared" si="7"/>
        <v>47</v>
      </c>
      <c r="C89">
        <f t="shared" si="8"/>
        <v>0.62</v>
      </c>
      <c r="D89">
        <f t="shared" si="9"/>
        <v>12.4</v>
      </c>
      <c r="E89">
        <f t="shared" si="10"/>
        <v>-7.6</v>
      </c>
      <c r="F89">
        <f t="shared" si="11"/>
        <v>-4.3749230570165976</v>
      </c>
      <c r="G89">
        <f t="shared" si="13"/>
        <v>57.564777066007863</v>
      </c>
      <c r="H89">
        <f t="shared" si="12"/>
        <v>53.189854008991269</v>
      </c>
    </row>
    <row r="90" spans="1:8" x14ac:dyDescent="0.3">
      <c r="A90" s="1">
        <v>45372</v>
      </c>
      <c r="B90" s="2">
        <f t="shared" si="7"/>
        <v>47.5</v>
      </c>
      <c r="C90">
        <f t="shared" si="8"/>
        <v>0.76</v>
      </c>
      <c r="D90">
        <f t="shared" si="9"/>
        <v>15.2</v>
      </c>
      <c r="E90">
        <f t="shared" si="10"/>
        <v>-4.8000000000000007</v>
      </c>
      <c r="F90">
        <f t="shared" si="11"/>
        <v>-2.5531129924315814</v>
      </c>
      <c r="G90">
        <f t="shared" si="13"/>
        <v>53.189854008991269</v>
      </c>
      <c r="H90">
        <f t="shared" si="12"/>
        <v>50.636741016559689</v>
      </c>
    </row>
    <row r="91" spans="1:8" x14ac:dyDescent="0.3">
      <c r="A91" s="1">
        <v>45373</v>
      </c>
      <c r="B91" s="2">
        <f t="shared" si="7"/>
        <v>48</v>
      </c>
      <c r="C91">
        <f t="shared" si="8"/>
        <v>0.76</v>
      </c>
      <c r="D91">
        <f t="shared" si="9"/>
        <v>15.2</v>
      </c>
      <c r="E91">
        <f t="shared" si="10"/>
        <v>-4.8000000000000007</v>
      </c>
      <c r="F91">
        <f t="shared" si="11"/>
        <v>-2.4305635687948657</v>
      </c>
      <c r="G91">
        <f t="shared" si="13"/>
        <v>50.636741016559689</v>
      </c>
      <c r="H91">
        <f t="shared" si="12"/>
        <v>48.206177447764823</v>
      </c>
    </row>
    <row r="92" spans="1:8" x14ac:dyDescent="0.3">
      <c r="A92" s="1">
        <v>45374</v>
      </c>
      <c r="B92" s="2">
        <f t="shared" si="7"/>
        <v>48.5</v>
      </c>
      <c r="C92">
        <f t="shared" si="8"/>
        <v>0.76</v>
      </c>
      <c r="D92">
        <f t="shared" si="9"/>
        <v>15.2</v>
      </c>
      <c r="E92">
        <f t="shared" si="10"/>
        <v>-4.8000000000000007</v>
      </c>
      <c r="F92">
        <f t="shared" si="11"/>
        <v>-2.313896517492712</v>
      </c>
      <c r="G92">
        <f t="shared" si="13"/>
        <v>48.206177447764823</v>
      </c>
      <c r="H92">
        <f t="shared" si="12"/>
        <v>45.892280930272108</v>
      </c>
    </row>
    <row r="93" spans="1:8" x14ac:dyDescent="0.3">
      <c r="A93" s="1">
        <v>45375</v>
      </c>
      <c r="B93" s="2">
        <f t="shared" si="7"/>
        <v>49</v>
      </c>
      <c r="C93">
        <f t="shared" si="8"/>
        <v>0.9</v>
      </c>
      <c r="D93">
        <f t="shared" si="9"/>
        <v>18</v>
      </c>
      <c r="E93">
        <f t="shared" si="10"/>
        <v>-2</v>
      </c>
      <c r="F93">
        <f t="shared" si="11"/>
        <v>-0.91784561860544223</v>
      </c>
      <c r="G93">
        <f t="shared" si="13"/>
        <v>45.892280930272108</v>
      </c>
      <c r="H93">
        <f t="shared" si="12"/>
        <v>44.974435311666667</v>
      </c>
    </row>
    <row r="94" spans="1:8" x14ac:dyDescent="0.3">
      <c r="A94" s="1">
        <v>45376</v>
      </c>
      <c r="B94" s="2">
        <f t="shared" si="7"/>
        <v>49.5</v>
      </c>
      <c r="C94">
        <f t="shared" si="8"/>
        <v>0.04</v>
      </c>
      <c r="D94">
        <f t="shared" si="9"/>
        <v>0.8</v>
      </c>
      <c r="E94">
        <f t="shared" si="10"/>
        <v>0.8</v>
      </c>
      <c r="F94">
        <f t="shared" si="11"/>
        <v>0.35979548249333332</v>
      </c>
      <c r="G94">
        <f t="shared" si="13"/>
        <v>44.974435311666667</v>
      </c>
      <c r="H94">
        <f t="shared" si="12"/>
        <v>45.33423079416</v>
      </c>
    </row>
    <row r="95" spans="1:8" x14ac:dyDescent="0.3">
      <c r="A95" s="1">
        <v>45377</v>
      </c>
      <c r="B95" s="2">
        <f t="shared" si="7"/>
        <v>50</v>
      </c>
      <c r="C95">
        <f t="shared" si="8"/>
        <v>0.04</v>
      </c>
      <c r="D95">
        <f t="shared" si="9"/>
        <v>0.8</v>
      </c>
      <c r="E95">
        <f t="shared" si="10"/>
        <v>0.8</v>
      </c>
      <c r="F95">
        <f t="shared" si="11"/>
        <v>0.36267384635327998</v>
      </c>
      <c r="G95">
        <f t="shared" si="13"/>
        <v>45.33423079416</v>
      </c>
      <c r="H95">
        <f t="shared" si="12"/>
        <v>45.696904640513281</v>
      </c>
    </row>
    <row r="96" spans="1:8" x14ac:dyDescent="0.3">
      <c r="A96" s="1">
        <v>45378</v>
      </c>
      <c r="B96" s="2">
        <f t="shared" si="7"/>
        <v>50.5</v>
      </c>
      <c r="C96">
        <f t="shared" si="8"/>
        <v>0.04</v>
      </c>
      <c r="D96">
        <f t="shared" si="9"/>
        <v>0.8</v>
      </c>
      <c r="E96">
        <f t="shared" si="10"/>
        <v>0.8</v>
      </c>
      <c r="F96">
        <f t="shared" si="11"/>
        <v>0.36557523712410628</v>
      </c>
      <c r="G96">
        <f t="shared" si="13"/>
        <v>45.696904640513281</v>
      </c>
      <c r="H96">
        <f t="shared" si="12"/>
        <v>46.062479877637386</v>
      </c>
    </row>
    <row r="97" spans="1:8" x14ac:dyDescent="0.3">
      <c r="A97" s="1">
        <v>45379</v>
      </c>
      <c r="B97" s="2">
        <f t="shared" si="7"/>
        <v>51</v>
      </c>
      <c r="C97">
        <f t="shared" si="8"/>
        <v>0.18</v>
      </c>
      <c r="D97">
        <f t="shared" si="9"/>
        <v>3.5999999999999996</v>
      </c>
      <c r="E97">
        <f t="shared" si="10"/>
        <v>3.5999999999999996</v>
      </c>
      <c r="F97">
        <f t="shared" si="11"/>
        <v>1.6582492755949458</v>
      </c>
      <c r="G97">
        <f t="shared" si="13"/>
        <v>46.062479877637386</v>
      </c>
      <c r="H97">
        <f t="shared" si="12"/>
        <v>47.720729153232334</v>
      </c>
    </row>
    <row r="98" spans="1:8" x14ac:dyDescent="0.3">
      <c r="A98" s="1">
        <v>45380</v>
      </c>
      <c r="B98" s="2">
        <f t="shared" si="7"/>
        <v>51.5</v>
      </c>
      <c r="C98">
        <f t="shared" si="8"/>
        <v>0.32</v>
      </c>
      <c r="D98">
        <f t="shared" si="9"/>
        <v>6.4</v>
      </c>
      <c r="E98">
        <f t="shared" si="10"/>
        <v>6.4</v>
      </c>
      <c r="F98">
        <f t="shared" si="11"/>
        <v>3.0541266658068693</v>
      </c>
      <c r="G98">
        <f t="shared" si="13"/>
        <v>47.720729153232334</v>
      </c>
      <c r="H98">
        <f t="shared" si="12"/>
        <v>50.774855819039203</v>
      </c>
    </row>
    <row r="99" spans="1:8" x14ac:dyDescent="0.3">
      <c r="A99" s="1">
        <v>45381</v>
      </c>
      <c r="B99" s="2">
        <f t="shared" si="7"/>
        <v>52</v>
      </c>
      <c r="C99">
        <f t="shared" si="8"/>
        <v>0.32</v>
      </c>
      <c r="D99">
        <f t="shared" si="9"/>
        <v>6.4</v>
      </c>
      <c r="E99">
        <f t="shared" si="10"/>
        <v>6.4</v>
      </c>
      <c r="F99">
        <f t="shared" si="11"/>
        <v>3.2495907724185091</v>
      </c>
      <c r="G99">
        <f t="shared" si="13"/>
        <v>50.774855819039203</v>
      </c>
      <c r="H99">
        <f t="shared" si="12"/>
        <v>54.024446591457711</v>
      </c>
    </row>
    <row r="100" spans="1:8" x14ac:dyDescent="0.3">
      <c r="A100" s="1">
        <v>45382</v>
      </c>
      <c r="B100" s="2">
        <f t="shared" si="7"/>
        <v>52.5</v>
      </c>
      <c r="C100">
        <f t="shared" si="8"/>
        <v>0.32</v>
      </c>
      <c r="D100">
        <f t="shared" si="9"/>
        <v>6.4</v>
      </c>
      <c r="E100">
        <f t="shared" si="10"/>
        <v>6.4</v>
      </c>
      <c r="F100">
        <f t="shared" si="11"/>
        <v>3.4575645818532936</v>
      </c>
      <c r="G100">
        <f t="shared" si="13"/>
        <v>54.024446591457711</v>
      </c>
      <c r="H100">
        <f t="shared" si="12"/>
        <v>57.482011173311001</v>
      </c>
    </row>
    <row r="101" spans="1:8" x14ac:dyDescent="0.3">
      <c r="A101" s="1">
        <v>45383</v>
      </c>
      <c r="B101" s="2">
        <f t="shared" si="7"/>
        <v>53</v>
      </c>
      <c r="C101">
        <f t="shared" si="8"/>
        <v>0.46</v>
      </c>
      <c r="D101">
        <f t="shared" si="9"/>
        <v>9.2000000000000011</v>
      </c>
      <c r="E101">
        <f t="shared" si="10"/>
        <v>9.2000000000000011</v>
      </c>
      <c r="F101">
        <f t="shared" si="11"/>
        <v>5.2883450279446125</v>
      </c>
      <c r="G101">
        <f t="shared" si="13"/>
        <v>57.482011173311001</v>
      </c>
      <c r="H101">
        <f t="shared" si="12"/>
        <v>62.770356201255616</v>
      </c>
    </row>
    <row r="102" spans="1:8" x14ac:dyDescent="0.3">
      <c r="A102" s="1">
        <v>45384</v>
      </c>
      <c r="B102" s="2">
        <f t="shared" si="7"/>
        <v>53.5</v>
      </c>
      <c r="C102">
        <f t="shared" si="8"/>
        <v>0.6</v>
      </c>
      <c r="D102">
        <f t="shared" si="9"/>
        <v>12</v>
      </c>
      <c r="E102">
        <f t="shared" si="10"/>
        <v>-8</v>
      </c>
      <c r="F102">
        <f t="shared" si="11"/>
        <v>-5.0216284961004494</v>
      </c>
      <c r="G102">
        <f t="shared" si="13"/>
        <v>62.770356201255616</v>
      </c>
      <c r="H102">
        <f t="shared" si="12"/>
        <v>57.748727705155169</v>
      </c>
    </row>
    <row r="103" spans="1:8" x14ac:dyDescent="0.3">
      <c r="A103" s="1">
        <v>45385</v>
      </c>
      <c r="B103" s="2">
        <f t="shared" si="7"/>
        <v>54</v>
      </c>
      <c r="C103">
        <f t="shared" si="8"/>
        <v>0.6</v>
      </c>
      <c r="D103">
        <f t="shared" si="9"/>
        <v>12</v>
      </c>
      <c r="E103">
        <f t="shared" si="10"/>
        <v>-8</v>
      </c>
      <c r="F103">
        <f t="shared" si="11"/>
        <v>-4.6198982164124134</v>
      </c>
      <c r="G103">
        <f t="shared" si="13"/>
        <v>57.748727705155169</v>
      </c>
      <c r="H103">
        <f t="shared" si="12"/>
        <v>53.128829488742753</v>
      </c>
    </row>
    <row r="104" spans="1:8" x14ac:dyDescent="0.3">
      <c r="A104" s="1">
        <v>45386</v>
      </c>
      <c r="B104" s="2">
        <f t="shared" si="7"/>
        <v>54.5</v>
      </c>
      <c r="C104">
        <f t="shared" si="8"/>
        <v>0.6</v>
      </c>
      <c r="D104">
        <f t="shared" si="9"/>
        <v>12</v>
      </c>
      <c r="E104">
        <f t="shared" si="10"/>
        <v>-8</v>
      </c>
      <c r="F104">
        <f t="shared" si="11"/>
        <v>-4.2503063590994206</v>
      </c>
      <c r="G104">
        <f t="shared" si="13"/>
        <v>53.128829488742753</v>
      </c>
      <c r="H104">
        <f t="shared" si="12"/>
        <v>48.878523129643334</v>
      </c>
    </row>
    <row r="105" spans="1:8" x14ac:dyDescent="0.3">
      <c r="A105" s="1">
        <v>45387</v>
      </c>
      <c r="B105" s="2">
        <f t="shared" si="7"/>
        <v>55</v>
      </c>
      <c r="C105">
        <f t="shared" si="8"/>
        <v>0.74</v>
      </c>
      <c r="D105">
        <f t="shared" si="9"/>
        <v>14.8</v>
      </c>
      <c r="E105">
        <f t="shared" si="10"/>
        <v>-5.1999999999999993</v>
      </c>
      <c r="F105">
        <f t="shared" si="11"/>
        <v>-2.5416832027414529</v>
      </c>
      <c r="G105">
        <f t="shared" si="13"/>
        <v>48.878523129643334</v>
      </c>
      <c r="H105">
        <f t="shared" si="12"/>
        <v>46.336839926901881</v>
      </c>
    </row>
    <row r="106" spans="1:8" x14ac:dyDescent="0.3">
      <c r="A106" s="1">
        <v>45388</v>
      </c>
      <c r="B106" s="2">
        <f t="shared" si="7"/>
        <v>55.5</v>
      </c>
      <c r="C106">
        <f t="shared" si="8"/>
        <v>0.88</v>
      </c>
      <c r="D106">
        <f t="shared" si="9"/>
        <v>17.600000000000001</v>
      </c>
      <c r="E106">
        <f t="shared" si="10"/>
        <v>-2.3999999999999986</v>
      </c>
      <c r="F106">
        <f t="shared" si="11"/>
        <v>-1.1120841582456444</v>
      </c>
      <c r="G106">
        <f t="shared" si="13"/>
        <v>46.336839926901881</v>
      </c>
      <c r="H106">
        <f t="shared" si="12"/>
        <v>45.224755768656237</v>
      </c>
    </row>
    <row r="107" spans="1:8" x14ac:dyDescent="0.3">
      <c r="A107" s="1">
        <v>45389</v>
      </c>
      <c r="B107" s="2">
        <f t="shared" si="7"/>
        <v>56</v>
      </c>
      <c r="C107">
        <f t="shared" si="8"/>
        <v>0.88</v>
      </c>
      <c r="D107">
        <f t="shared" si="9"/>
        <v>17.600000000000001</v>
      </c>
      <c r="E107">
        <f t="shared" si="10"/>
        <v>-2.3999999999999986</v>
      </c>
      <c r="F107">
        <f t="shared" si="11"/>
        <v>-1.085394138447749</v>
      </c>
      <c r="G107">
        <f t="shared" si="13"/>
        <v>45.224755768656237</v>
      </c>
      <c r="H107">
        <f t="shared" si="12"/>
        <v>44.139361630208491</v>
      </c>
    </row>
    <row r="108" spans="1:8" x14ac:dyDescent="0.3">
      <c r="A108" s="1">
        <v>45390</v>
      </c>
      <c r="B108" s="2">
        <f t="shared" si="7"/>
        <v>56.5</v>
      </c>
      <c r="C108">
        <f t="shared" si="8"/>
        <v>0.88</v>
      </c>
      <c r="D108">
        <f t="shared" si="9"/>
        <v>17.600000000000001</v>
      </c>
      <c r="E108">
        <f t="shared" si="10"/>
        <v>-2.3999999999999986</v>
      </c>
      <c r="F108">
        <f t="shared" si="11"/>
        <v>-1.0593446791250032</v>
      </c>
      <c r="G108">
        <f t="shared" si="13"/>
        <v>44.139361630208491</v>
      </c>
      <c r="H108">
        <f t="shared" si="12"/>
        <v>43.080016951083486</v>
      </c>
    </row>
    <row r="109" spans="1:8" x14ac:dyDescent="0.3">
      <c r="A109" s="1">
        <v>45391</v>
      </c>
      <c r="B109" s="2">
        <f t="shared" si="7"/>
        <v>57</v>
      </c>
      <c r="C109">
        <f t="shared" si="8"/>
        <v>0.02</v>
      </c>
      <c r="D109">
        <f t="shared" si="9"/>
        <v>0.4</v>
      </c>
      <c r="E109">
        <f t="shared" si="10"/>
        <v>0.4</v>
      </c>
      <c r="F109">
        <f t="shared" si="11"/>
        <v>0.17232006780433395</v>
      </c>
      <c r="G109">
        <f t="shared" si="13"/>
        <v>43.080016951083486</v>
      </c>
      <c r="H109">
        <f t="shared" si="12"/>
        <v>43.252337018887822</v>
      </c>
    </row>
    <row r="110" spans="1:8" x14ac:dyDescent="0.3">
      <c r="A110" s="1">
        <v>45392</v>
      </c>
      <c r="B110" s="2">
        <f t="shared" si="7"/>
        <v>57.5</v>
      </c>
      <c r="C110">
        <f t="shared" si="8"/>
        <v>0.16</v>
      </c>
      <c r="D110">
        <f t="shared" si="9"/>
        <v>3.2</v>
      </c>
      <c r="E110">
        <f t="shared" si="10"/>
        <v>3.2</v>
      </c>
      <c r="F110">
        <f t="shared" si="11"/>
        <v>1.3840747846044104</v>
      </c>
      <c r="G110">
        <f t="shared" si="13"/>
        <v>43.252337018887822</v>
      </c>
      <c r="H110">
        <f t="shared" si="12"/>
        <v>44.63641180349223</v>
      </c>
    </row>
    <row r="111" spans="1:8" x14ac:dyDescent="0.3">
      <c r="A111" s="1">
        <v>45393</v>
      </c>
      <c r="B111" s="2">
        <f t="shared" si="7"/>
        <v>58</v>
      </c>
      <c r="C111">
        <f t="shared" si="8"/>
        <v>0.16</v>
      </c>
      <c r="D111">
        <f t="shared" si="9"/>
        <v>3.2</v>
      </c>
      <c r="E111">
        <f t="shared" si="10"/>
        <v>3.2</v>
      </c>
      <c r="F111">
        <f t="shared" si="11"/>
        <v>1.4283651777117514</v>
      </c>
      <c r="G111">
        <f t="shared" si="13"/>
        <v>44.63641180349223</v>
      </c>
      <c r="H111">
        <f t="shared" si="12"/>
        <v>46.064776981203984</v>
      </c>
    </row>
    <row r="112" spans="1:8" x14ac:dyDescent="0.3">
      <c r="A112" s="1">
        <v>45394</v>
      </c>
      <c r="B112" s="2">
        <f t="shared" si="7"/>
        <v>58.5</v>
      </c>
      <c r="C112">
        <f t="shared" si="8"/>
        <v>0.16</v>
      </c>
      <c r="D112">
        <f t="shared" si="9"/>
        <v>3.2</v>
      </c>
      <c r="E112">
        <f t="shared" si="10"/>
        <v>3.2</v>
      </c>
      <c r="F112">
        <f t="shared" si="11"/>
        <v>1.4740728633985276</v>
      </c>
      <c r="G112">
        <f t="shared" si="13"/>
        <v>46.064776981203984</v>
      </c>
      <c r="H112">
        <f t="shared" si="12"/>
        <v>47.53884984460251</v>
      </c>
    </row>
    <row r="113" spans="1:8" x14ac:dyDescent="0.3">
      <c r="A113" s="1">
        <v>45395</v>
      </c>
      <c r="B113" s="2">
        <f t="shared" si="7"/>
        <v>59</v>
      </c>
      <c r="C113">
        <f t="shared" si="8"/>
        <v>0.3</v>
      </c>
      <c r="D113">
        <f t="shared" si="9"/>
        <v>6</v>
      </c>
      <c r="E113">
        <f t="shared" si="10"/>
        <v>6</v>
      </c>
      <c r="F113">
        <f t="shared" si="11"/>
        <v>2.8523309906761503</v>
      </c>
      <c r="G113">
        <f t="shared" si="13"/>
        <v>47.53884984460251</v>
      </c>
      <c r="H113">
        <f t="shared" si="12"/>
        <v>50.391180835278661</v>
      </c>
    </row>
    <row r="114" spans="1:8" x14ac:dyDescent="0.3">
      <c r="A114" s="1">
        <v>45396</v>
      </c>
      <c r="B114" s="2">
        <f t="shared" si="7"/>
        <v>59.5</v>
      </c>
      <c r="C114">
        <f t="shared" si="8"/>
        <v>0.44</v>
      </c>
      <c r="D114">
        <f t="shared" si="9"/>
        <v>8.8000000000000007</v>
      </c>
      <c r="E114">
        <f t="shared" si="10"/>
        <v>8.8000000000000007</v>
      </c>
      <c r="F114">
        <f t="shared" si="11"/>
        <v>4.4344239135045225</v>
      </c>
      <c r="G114">
        <f t="shared" si="13"/>
        <v>50.391180835278661</v>
      </c>
      <c r="H114">
        <f t="shared" si="12"/>
        <v>54.825604748783185</v>
      </c>
    </row>
    <row r="115" spans="1:8" x14ac:dyDescent="0.3">
      <c r="A115" s="1">
        <v>45397</v>
      </c>
      <c r="B115" s="2">
        <f t="shared" si="7"/>
        <v>60</v>
      </c>
      <c r="C115">
        <f t="shared" si="8"/>
        <v>0.44</v>
      </c>
      <c r="D115">
        <f t="shared" si="9"/>
        <v>8.8000000000000007</v>
      </c>
      <c r="E115">
        <f t="shared" si="10"/>
        <v>8.8000000000000007</v>
      </c>
      <c r="F115">
        <f t="shared" si="11"/>
        <v>4.8246532178929211</v>
      </c>
      <c r="G115">
        <f t="shared" si="13"/>
        <v>54.825604748783185</v>
      </c>
      <c r="H115">
        <f t="shared" si="12"/>
        <v>59.650257966676108</v>
      </c>
    </row>
    <row r="116" spans="1:8" x14ac:dyDescent="0.3">
      <c r="A116" s="1">
        <v>45398</v>
      </c>
      <c r="B116" s="2">
        <f t="shared" si="7"/>
        <v>60.5</v>
      </c>
      <c r="C116">
        <f t="shared" si="8"/>
        <v>0.44</v>
      </c>
      <c r="D116">
        <f t="shared" si="9"/>
        <v>8.8000000000000007</v>
      </c>
      <c r="E116">
        <f t="shared" si="10"/>
        <v>8.8000000000000007</v>
      </c>
      <c r="F116">
        <f t="shared" si="11"/>
        <v>5.2492227010674979</v>
      </c>
      <c r="G116">
        <f t="shared" si="13"/>
        <v>59.650257966676108</v>
      </c>
      <c r="H116">
        <f t="shared" si="12"/>
        <v>64.899480667743603</v>
      </c>
    </row>
    <row r="117" spans="1:8" x14ac:dyDescent="0.3">
      <c r="A117" s="1">
        <v>45399</v>
      </c>
      <c r="B117" s="2">
        <f t="shared" si="7"/>
        <v>61</v>
      </c>
      <c r="C117">
        <f t="shared" si="8"/>
        <v>0.57999999999999996</v>
      </c>
      <c r="D117">
        <f t="shared" si="9"/>
        <v>11.6</v>
      </c>
      <c r="E117">
        <f t="shared" si="10"/>
        <v>-8.4</v>
      </c>
      <c r="F117">
        <f t="shared" si="11"/>
        <v>-5.4515563760904628</v>
      </c>
      <c r="G117">
        <f t="shared" si="13"/>
        <v>64.899480667743603</v>
      </c>
      <c r="H117">
        <f t="shared" si="12"/>
        <v>59.447924291653138</v>
      </c>
    </row>
    <row r="118" spans="1:8" x14ac:dyDescent="0.3">
      <c r="A118" s="1">
        <v>45400</v>
      </c>
      <c r="B118" s="2">
        <f t="shared" si="7"/>
        <v>61.5</v>
      </c>
      <c r="C118">
        <f t="shared" si="8"/>
        <v>0.72</v>
      </c>
      <c r="D118">
        <f t="shared" si="9"/>
        <v>14.399999999999999</v>
      </c>
      <c r="E118">
        <f t="shared" si="10"/>
        <v>-5.6000000000000014</v>
      </c>
      <c r="F118">
        <f t="shared" si="11"/>
        <v>-3.3290837603325767</v>
      </c>
      <c r="G118">
        <f t="shared" si="13"/>
        <v>59.447924291653138</v>
      </c>
      <c r="H118">
        <f t="shared" si="12"/>
        <v>56.118840531320558</v>
      </c>
    </row>
    <row r="119" spans="1:8" x14ac:dyDescent="0.3">
      <c r="A119" s="1">
        <v>45401</v>
      </c>
      <c r="B119" s="2">
        <f t="shared" si="7"/>
        <v>62</v>
      </c>
      <c r="C119">
        <f t="shared" si="8"/>
        <v>0.72</v>
      </c>
      <c r="D119">
        <f t="shared" si="9"/>
        <v>14.399999999999999</v>
      </c>
      <c r="E119">
        <f t="shared" si="10"/>
        <v>-5.6000000000000014</v>
      </c>
      <c r="F119">
        <f t="shared" si="11"/>
        <v>-3.1426550697539519</v>
      </c>
      <c r="G119">
        <f t="shared" si="13"/>
        <v>56.118840531320558</v>
      </c>
      <c r="H119">
        <f t="shared" si="12"/>
        <v>52.976185461566608</v>
      </c>
    </row>
    <row r="120" spans="1:8" x14ac:dyDescent="0.3">
      <c r="A120" s="1">
        <v>45402</v>
      </c>
      <c r="B120" s="2">
        <f t="shared" si="7"/>
        <v>62.5</v>
      </c>
      <c r="C120">
        <f t="shared" si="8"/>
        <v>0.72</v>
      </c>
      <c r="D120">
        <f t="shared" si="9"/>
        <v>14.399999999999999</v>
      </c>
      <c r="E120">
        <f t="shared" si="10"/>
        <v>-5.6000000000000014</v>
      </c>
      <c r="F120">
        <f t="shared" si="11"/>
        <v>-2.9666663858477307</v>
      </c>
      <c r="G120">
        <f t="shared" si="13"/>
        <v>52.976185461566608</v>
      </c>
      <c r="H120">
        <f t="shared" si="12"/>
        <v>50.009519075718877</v>
      </c>
    </row>
    <row r="121" spans="1:8" x14ac:dyDescent="0.3">
      <c r="A121" s="1">
        <v>45403</v>
      </c>
      <c r="B121" s="2">
        <f t="shared" si="7"/>
        <v>63</v>
      </c>
      <c r="C121">
        <f t="shared" si="8"/>
        <v>0.86</v>
      </c>
      <c r="D121">
        <f t="shared" si="9"/>
        <v>17.2</v>
      </c>
      <c r="E121">
        <f t="shared" si="10"/>
        <v>-2.8000000000000007</v>
      </c>
      <c r="F121">
        <f t="shared" si="11"/>
        <v>-1.400266534120129</v>
      </c>
      <c r="G121">
        <f t="shared" si="13"/>
        <v>50.009519075718877</v>
      </c>
      <c r="H121">
        <f t="shared" si="12"/>
        <v>48.60925254159875</v>
      </c>
    </row>
    <row r="122" spans="1:8" x14ac:dyDescent="0.3">
      <c r="A122" s="1">
        <v>45404</v>
      </c>
      <c r="B122" s="2">
        <f t="shared" si="7"/>
        <v>63.5</v>
      </c>
      <c r="C122">
        <f t="shared" si="8"/>
        <v>1</v>
      </c>
      <c r="D122">
        <f t="shared" si="9"/>
        <v>20</v>
      </c>
      <c r="E122">
        <f t="shared" si="10"/>
        <v>0</v>
      </c>
      <c r="F122">
        <f t="shared" si="11"/>
        <v>0</v>
      </c>
      <c r="G122">
        <f t="shared" si="13"/>
        <v>48.60925254159875</v>
      </c>
      <c r="H122">
        <f t="shared" si="12"/>
        <v>48.60925254159875</v>
      </c>
    </row>
    <row r="123" spans="1:8" x14ac:dyDescent="0.3">
      <c r="A123" s="1">
        <v>45405</v>
      </c>
      <c r="B123" s="2">
        <f t="shared" si="7"/>
        <v>64</v>
      </c>
      <c r="C123">
        <f t="shared" si="8"/>
        <v>1</v>
      </c>
      <c r="D123">
        <f t="shared" si="9"/>
        <v>20</v>
      </c>
      <c r="E123">
        <f t="shared" si="10"/>
        <v>0</v>
      </c>
      <c r="F123">
        <f t="shared" si="11"/>
        <v>0</v>
      </c>
      <c r="G123">
        <f t="shared" si="13"/>
        <v>48.60925254159875</v>
      </c>
      <c r="H123">
        <f t="shared" si="12"/>
        <v>48.60925254159875</v>
      </c>
    </row>
    <row r="124" spans="1:8" x14ac:dyDescent="0.3">
      <c r="A124" s="1">
        <v>45406</v>
      </c>
      <c r="B124" s="2">
        <f t="shared" si="7"/>
        <v>64.5</v>
      </c>
      <c r="C124">
        <f t="shared" si="8"/>
        <v>1</v>
      </c>
      <c r="D124">
        <f t="shared" si="9"/>
        <v>20</v>
      </c>
      <c r="E124">
        <f t="shared" si="10"/>
        <v>0</v>
      </c>
      <c r="F124">
        <f t="shared" si="11"/>
        <v>0</v>
      </c>
      <c r="G124">
        <f t="shared" si="13"/>
        <v>48.60925254159875</v>
      </c>
      <c r="H124">
        <f t="shared" si="12"/>
        <v>48.60925254159875</v>
      </c>
    </row>
    <row r="125" spans="1:8" x14ac:dyDescent="0.3">
      <c r="A125" s="1">
        <v>45407</v>
      </c>
      <c r="B125" s="2">
        <f t="shared" si="7"/>
        <v>65</v>
      </c>
      <c r="C125">
        <f t="shared" si="8"/>
        <v>0.14000000000000001</v>
      </c>
      <c r="D125">
        <f t="shared" si="9"/>
        <v>2.8000000000000003</v>
      </c>
      <c r="E125">
        <f t="shared" si="10"/>
        <v>2.8000000000000003</v>
      </c>
      <c r="F125">
        <f t="shared" si="11"/>
        <v>1.3610590711647652</v>
      </c>
      <c r="G125">
        <f t="shared" si="13"/>
        <v>48.60925254159875</v>
      </c>
      <c r="H125">
        <f t="shared" si="12"/>
        <v>49.970311612763517</v>
      </c>
    </row>
    <row r="126" spans="1:8" x14ac:dyDescent="0.3">
      <c r="A126" s="1">
        <v>45408</v>
      </c>
      <c r="B126" s="2">
        <f t="shared" si="7"/>
        <v>65.5</v>
      </c>
      <c r="C126">
        <f t="shared" si="8"/>
        <v>0.28000000000000003</v>
      </c>
      <c r="D126">
        <f t="shared" si="9"/>
        <v>5.6000000000000005</v>
      </c>
      <c r="E126">
        <f t="shared" si="10"/>
        <v>5.6000000000000005</v>
      </c>
      <c r="F126">
        <f t="shared" si="11"/>
        <v>2.7983374503147576</v>
      </c>
      <c r="G126">
        <f t="shared" si="13"/>
        <v>49.970311612763517</v>
      </c>
      <c r="H126">
        <f t="shared" si="12"/>
        <v>52.768649063078271</v>
      </c>
    </row>
    <row r="127" spans="1:8" x14ac:dyDescent="0.3">
      <c r="A127" s="1">
        <v>45409</v>
      </c>
      <c r="B127" s="2">
        <f t="shared" si="7"/>
        <v>66</v>
      </c>
      <c r="C127">
        <f t="shared" si="8"/>
        <v>0.28000000000000003</v>
      </c>
      <c r="D127">
        <f t="shared" si="9"/>
        <v>5.6000000000000005</v>
      </c>
      <c r="E127">
        <f t="shared" si="10"/>
        <v>5.6000000000000005</v>
      </c>
      <c r="F127">
        <f t="shared" si="11"/>
        <v>2.9550443475323838</v>
      </c>
      <c r="G127">
        <f t="shared" si="13"/>
        <v>52.768649063078271</v>
      </c>
      <c r="H127">
        <f t="shared" si="12"/>
        <v>55.723693410610657</v>
      </c>
    </row>
    <row r="128" spans="1:8" x14ac:dyDescent="0.3">
      <c r="A128" s="1">
        <v>45410</v>
      </c>
      <c r="B128" s="2">
        <f t="shared" si="7"/>
        <v>66.5</v>
      </c>
      <c r="C128">
        <f t="shared" si="8"/>
        <v>0.28000000000000003</v>
      </c>
      <c r="D128">
        <f t="shared" si="9"/>
        <v>5.6000000000000005</v>
      </c>
      <c r="E128">
        <f t="shared" si="10"/>
        <v>5.6000000000000005</v>
      </c>
      <c r="F128">
        <f t="shared" si="11"/>
        <v>3.1205268309941974</v>
      </c>
      <c r="G128">
        <f t="shared" si="13"/>
        <v>55.723693410610657</v>
      </c>
      <c r="H128">
        <f t="shared" si="12"/>
        <v>58.844220241604852</v>
      </c>
    </row>
    <row r="129" spans="1:8" x14ac:dyDescent="0.3">
      <c r="A129" s="1">
        <v>45411</v>
      </c>
      <c r="B129" s="2">
        <f t="shared" si="7"/>
        <v>67</v>
      </c>
      <c r="C129">
        <f t="shared" si="8"/>
        <v>0.42</v>
      </c>
      <c r="D129">
        <f t="shared" si="9"/>
        <v>8.4</v>
      </c>
      <c r="E129">
        <f t="shared" si="10"/>
        <v>8.4</v>
      </c>
      <c r="F129">
        <f t="shared" si="11"/>
        <v>4.9429145002948083</v>
      </c>
      <c r="G129">
        <f t="shared" si="13"/>
        <v>58.844220241604852</v>
      </c>
      <c r="H129">
        <f t="shared" si="12"/>
        <v>63.787134741899663</v>
      </c>
    </row>
    <row r="130" spans="1:8" x14ac:dyDescent="0.3">
      <c r="A130" s="1">
        <v>45412</v>
      </c>
      <c r="B130" s="2">
        <f t="shared" si="7"/>
        <v>67.5</v>
      </c>
      <c r="C130">
        <f t="shared" si="8"/>
        <v>0.56000000000000005</v>
      </c>
      <c r="D130">
        <f t="shared" si="9"/>
        <v>11.200000000000001</v>
      </c>
      <c r="E130">
        <f t="shared" si="10"/>
        <v>-8.7999999999999989</v>
      </c>
      <c r="F130">
        <f t="shared" si="11"/>
        <v>-5.6132678572871697</v>
      </c>
      <c r="G130">
        <f t="shared" si="13"/>
        <v>63.787134741899663</v>
      </c>
      <c r="H130">
        <f t="shared" si="12"/>
        <v>58.173866884612494</v>
      </c>
    </row>
    <row r="131" spans="1:8" x14ac:dyDescent="0.3">
      <c r="A131" s="1">
        <v>45413</v>
      </c>
      <c r="B131" s="2">
        <f t="shared" si="7"/>
        <v>68</v>
      </c>
      <c r="C131">
        <f t="shared" si="8"/>
        <v>0.56000000000000005</v>
      </c>
      <c r="D131">
        <f t="shared" si="9"/>
        <v>11.200000000000001</v>
      </c>
      <c r="E131">
        <f t="shared" si="10"/>
        <v>-8.7999999999999989</v>
      </c>
      <c r="F131">
        <f t="shared" si="11"/>
        <v>-5.1193002858458989</v>
      </c>
      <c r="G131">
        <f t="shared" si="13"/>
        <v>58.173866884612494</v>
      </c>
      <c r="H131">
        <f t="shared" si="12"/>
        <v>53.054566598766598</v>
      </c>
    </row>
    <row r="132" spans="1:8" x14ac:dyDescent="0.3">
      <c r="A132" s="1">
        <v>45414</v>
      </c>
      <c r="B132" s="2">
        <f t="shared" si="7"/>
        <v>68.5</v>
      </c>
      <c r="C132">
        <f t="shared" si="8"/>
        <v>0.56000000000000005</v>
      </c>
      <c r="D132">
        <f t="shared" si="9"/>
        <v>11.200000000000001</v>
      </c>
      <c r="E132">
        <f t="shared" si="10"/>
        <v>-8.7999999999999989</v>
      </c>
      <c r="F132">
        <f t="shared" si="11"/>
        <v>-4.6688018606914605</v>
      </c>
      <c r="G132">
        <f t="shared" si="13"/>
        <v>53.054566598766598</v>
      </c>
      <c r="H132">
        <f t="shared" si="12"/>
        <v>48.385764738075139</v>
      </c>
    </row>
    <row r="133" spans="1:8" x14ac:dyDescent="0.3">
      <c r="A133" s="1">
        <v>45415</v>
      </c>
      <c r="B133" s="2">
        <f t="shared" si="7"/>
        <v>69</v>
      </c>
      <c r="C133">
        <f t="shared" si="8"/>
        <v>0.7</v>
      </c>
      <c r="D133">
        <f t="shared" si="9"/>
        <v>14</v>
      </c>
      <c r="E133">
        <f t="shared" si="10"/>
        <v>-6</v>
      </c>
      <c r="F133">
        <f t="shared" si="11"/>
        <v>-2.9031458842845081</v>
      </c>
      <c r="G133">
        <f t="shared" si="13"/>
        <v>48.385764738075139</v>
      </c>
      <c r="H133">
        <f t="shared" si="12"/>
        <v>45.482618853790633</v>
      </c>
    </row>
    <row r="134" spans="1:8" x14ac:dyDescent="0.3">
      <c r="A134" s="1">
        <v>45416</v>
      </c>
      <c r="B134" s="2">
        <f t="shared" si="7"/>
        <v>69.5</v>
      </c>
      <c r="C134">
        <f t="shared" si="8"/>
        <v>0.84</v>
      </c>
      <c r="D134">
        <f t="shared" si="9"/>
        <v>16.8</v>
      </c>
      <c r="E134">
        <f t="shared" si="10"/>
        <v>-3.1999999999999993</v>
      </c>
      <c r="F134">
        <f t="shared" si="11"/>
        <v>-1.4554438033213</v>
      </c>
      <c r="G134">
        <f t="shared" si="13"/>
        <v>45.482618853790633</v>
      </c>
      <c r="H134">
        <f t="shared" si="12"/>
        <v>44.027175050469332</v>
      </c>
    </row>
    <row r="135" spans="1:8" x14ac:dyDescent="0.3">
      <c r="A135" s="1">
        <v>45417</v>
      </c>
      <c r="B135" s="2">
        <f t="shared" si="7"/>
        <v>70</v>
      </c>
      <c r="C135">
        <f t="shared" si="8"/>
        <v>0.84</v>
      </c>
      <c r="D135">
        <f t="shared" si="9"/>
        <v>16.8</v>
      </c>
      <c r="E135">
        <f t="shared" si="10"/>
        <v>-3.1999999999999993</v>
      </c>
      <c r="F135">
        <f t="shared" si="11"/>
        <v>-1.4088696016150184</v>
      </c>
      <c r="G135">
        <f t="shared" si="13"/>
        <v>44.027175050469332</v>
      </c>
      <c r="H135">
        <f t="shared" si="12"/>
        <v>42.618305448854315</v>
      </c>
    </row>
    <row r="136" spans="1:8" x14ac:dyDescent="0.3">
      <c r="A136" s="1">
        <v>45418</v>
      </c>
      <c r="B136" s="2">
        <f t="shared" si="7"/>
        <v>70.5</v>
      </c>
      <c r="C136">
        <f t="shared" si="8"/>
        <v>0.84</v>
      </c>
      <c r="D136">
        <f t="shared" si="9"/>
        <v>16.8</v>
      </c>
      <c r="E136">
        <f t="shared" si="10"/>
        <v>-3.1999999999999993</v>
      </c>
      <c r="F136">
        <f t="shared" si="11"/>
        <v>-1.3637857743633379</v>
      </c>
      <c r="G136">
        <f t="shared" si="13"/>
        <v>42.618305448854315</v>
      </c>
      <c r="H136">
        <f t="shared" si="12"/>
        <v>41.254519674490979</v>
      </c>
    </row>
    <row r="137" spans="1:8" x14ac:dyDescent="0.3">
      <c r="A137" s="1">
        <v>45419</v>
      </c>
      <c r="B137" s="2">
        <f t="shared" si="7"/>
        <v>71</v>
      </c>
      <c r="C137">
        <f t="shared" si="8"/>
        <v>0.98</v>
      </c>
      <c r="D137">
        <f t="shared" si="9"/>
        <v>19.600000000000001</v>
      </c>
      <c r="E137">
        <f t="shared" si="10"/>
        <v>-0.39999999999999858</v>
      </c>
      <c r="F137">
        <f t="shared" si="11"/>
        <v>-0.16501807869796334</v>
      </c>
      <c r="G137">
        <f t="shared" si="13"/>
        <v>41.254519674490979</v>
      </c>
      <c r="H137">
        <f t="shared" si="12"/>
        <v>41.089501595793017</v>
      </c>
    </row>
    <row r="138" spans="1:8" x14ac:dyDescent="0.3">
      <c r="A138" s="1">
        <v>45420</v>
      </c>
      <c r="B138" s="2">
        <f t="shared" si="7"/>
        <v>71.5</v>
      </c>
      <c r="C138">
        <f t="shared" si="8"/>
        <v>0.12</v>
      </c>
      <c r="D138">
        <f t="shared" si="9"/>
        <v>2.4</v>
      </c>
      <c r="E138">
        <f t="shared" si="10"/>
        <v>2.4</v>
      </c>
      <c r="F138">
        <f t="shared" si="11"/>
        <v>0.98614803829903241</v>
      </c>
      <c r="G138">
        <f t="shared" si="13"/>
        <v>41.089501595793017</v>
      </c>
      <c r="H138">
        <f t="shared" si="12"/>
        <v>42.075649634092052</v>
      </c>
    </row>
    <row r="139" spans="1:8" x14ac:dyDescent="0.3">
      <c r="A139" s="1">
        <v>45421</v>
      </c>
      <c r="B139" s="2">
        <f t="shared" ref="B139:B191" si="14">(ROW()+5)/2</f>
        <v>72</v>
      </c>
      <c r="C139">
        <f t="shared" ref="C139:C191" si="15">ROUND(ImprovedSeededRandom($B$7,B139),2)</f>
        <v>0.12</v>
      </c>
      <c r="D139">
        <f t="shared" ref="D139:D191" si="16">$B$6*$B$5*C139</f>
        <v>2.4</v>
      </c>
      <c r="E139">
        <f t="shared" ref="E139:E191" si="17">IF(D139&gt;$B$5,D139-(2*$B$5),D139)</f>
        <v>2.4</v>
      </c>
      <c r="F139">
        <f t="shared" ref="F139:F191" si="18">G139*(E139/100)</f>
        <v>1.0098155912182092</v>
      </c>
      <c r="G139">
        <f t="shared" si="13"/>
        <v>42.075649634092052</v>
      </c>
      <c r="H139">
        <f t="shared" ref="H139:H191" si="19">G139+F139</f>
        <v>43.085465225310259</v>
      </c>
    </row>
    <row r="140" spans="1:8" x14ac:dyDescent="0.3">
      <c r="A140" s="1">
        <v>45422</v>
      </c>
      <c r="B140" s="2">
        <f t="shared" si="14"/>
        <v>72.5</v>
      </c>
      <c r="C140">
        <f t="shared" si="15"/>
        <v>0.12</v>
      </c>
      <c r="D140">
        <f t="shared" si="16"/>
        <v>2.4</v>
      </c>
      <c r="E140">
        <f t="shared" si="17"/>
        <v>2.4</v>
      </c>
      <c r="F140">
        <f t="shared" si="18"/>
        <v>1.0340511654074462</v>
      </c>
      <c r="G140">
        <f t="shared" ref="G140:G191" si="20">H139</f>
        <v>43.085465225310259</v>
      </c>
      <c r="H140">
        <f t="shared" si="19"/>
        <v>44.119516390717706</v>
      </c>
    </row>
    <row r="141" spans="1:8" x14ac:dyDescent="0.3">
      <c r="A141" s="1">
        <v>45423</v>
      </c>
      <c r="B141" s="2">
        <f t="shared" si="14"/>
        <v>73</v>
      </c>
      <c r="C141">
        <f t="shared" si="15"/>
        <v>0.26</v>
      </c>
      <c r="D141">
        <f t="shared" si="16"/>
        <v>5.2</v>
      </c>
      <c r="E141">
        <f t="shared" si="17"/>
        <v>5.2</v>
      </c>
      <c r="F141">
        <f t="shared" si="18"/>
        <v>2.2942148523173209</v>
      </c>
      <c r="G141">
        <f t="shared" si="20"/>
        <v>44.119516390717706</v>
      </c>
      <c r="H141">
        <f t="shared" si="19"/>
        <v>46.413731243035031</v>
      </c>
    </row>
    <row r="142" spans="1:8" x14ac:dyDescent="0.3">
      <c r="A142" s="1">
        <v>45424</v>
      </c>
      <c r="B142" s="2">
        <f t="shared" si="14"/>
        <v>73.5</v>
      </c>
      <c r="C142">
        <f t="shared" si="15"/>
        <v>0.4</v>
      </c>
      <c r="D142">
        <f t="shared" si="16"/>
        <v>8</v>
      </c>
      <c r="E142">
        <f t="shared" si="17"/>
        <v>8</v>
      </c>
      <c r="F142">
        <f t="shared" si="18"/>
        <v>3.7130984994428027</v>
      </c>
      <c r="G142">
        <f t="shared" si="20"/>
        <v>46.413731243035031</v>
      </c>
      <c r="H142">
        <f t="shared" si="19"/>
        <v>50.126829742477831</v>
      </c>
    </row>
    <row r="143" spans="1:8" x14ac:dyDescent="0.3">
      <c r="A143" s="1">
        <v>45425</v>
      </c>
      <c r="B143" s="2">
        <f t="shared" si="14"/>
        <v>74</v>
      </c>
      <c r="C143">
        <f t="shared" si="15"/>
        <v>0.4</v>
      </c>
      <c r="D143">
        <f t="shared" si="16"/>
        <v>8</v>
      </c>
      <c r="E143">
        <f t="shared" si="17"/>
        <v>8</v>
      </c>
      <c r="F143">
        <f t="shared" si="18"/>
        <v>4.0101463793982264</v>
      </c>
      <c r="G143">
        <f t="shared" si="20"/>
        <v>50.126829742477831</v>
      </c>
      <c r="H143">
        <f t="shared" si="19"/>
        <v>54.13697612187606</v>
      </c>
    </row>
    <row r="144" spans="1:8" x14ac:dyDescent="0.3">
      <c r="A144" s="1">
        <v>45426</v>
      </c>
      <c r="B144" s="2">
        <f t="shared" si="14"/>
        <v>74.5</v>
      </c>
      <c r="C144">
        <f t="shared" si="15"/>
        <v>0.4</v>
      </c>
      <c r="D144">
        <f t="shared" si="16"/>
        <v>8</v>
      </c>
      <c r="E144">
        <f t="shared" si="17"/>
        <v>8</v>
      </c>
      <c r="F144">
        <f t="shared" si="18"/>
        <v>4.3309580897500846</v>
      </c>
      <c r="G144">
        <f t="shared" si="20"/>
        <v>54.13697612187606</v>
      </c>
      <c r="H144">
        <f t="shared" si="19"/>
        <v>58.467934211626144</v>
      </c>
    </row>
    <row r="145" spans="1:8" x14ac:dyDescent="0.3">
      <c r="A145" s="1">
        <v>45427</v>
      </c>
      <c r="B145" s="2">
        <f t="shared" si="14"/>
        <v>75</v>
      </c>
      <c r="C145">
        <f t="shared" si="15"/>
        <v>0.54</v>
      </c>
      <c r="D145">
        <f t="shared" si="16"/>
        <v>10.8</v>
      </c>
      <c r="E145">
        <f t="shared" si="17"/>
        <v>-9.1999999999999993</v>
      </c>
      <c r="F145">
        <f t="shared" si="18"/>
        <v>-5.3790499474696052</v>
      </c>
      <c r="G145">
        <f t="shared" si="20"/>
        <v>58.467934211626144</v>
      </c>
      <c r="H145">
        <f t="shared" si="19"/>
        <v>53.08888426415654</v>
      </c>
    </row>
    <row r="146" spans="1:8" x14ac:dyDescent="0.3">
      <c r="A146" s="1">
        <v>45428</v>
      </c>
      <c r="B146" s="2">
        <f t="shared" si="14"/>
        <v>75.5</v>
      </c>
      <c r="C146">
        <f t="shared" si="15"/>
        <v>0.68</v>
      </c>
      <c r="D146">
        <f t="shared" si="16"/>
        <v>13.600000000000001</v>
      </c>
      <c r="E146">
        <f t="shared" si="17"/>
        <v>-6.3999999999999986</v>
      </c>
      <c r="F146">
        <f t="shared" si="18"/>
        <v>-3.3976885929060181</v>
      </c>
      <c r="G146">
        <f t="shared" si="20"/>
        <v>53.08888426415654</v>
      </c>
      <c r="H146">
        <f t="shared" si="19"/>
        <v>49.691195671250526</v>
      </c>
    </row>
    <row r="147" spans="1:8" x14ac:dyDescent="0.3">
      <c r="A147" s="1">
        <v>45429</v>
      </c>
      <c r="B147" s="2">
        <f t="shared" si="14"/>
        <v>76</v>
      </c>
      <c r="C147">
        <f t="shared" si="15"/>
        <v>0.68</v>
      </c>
      <c r="D147">
        <f t="shared" si="16"/>
        <v>13.600000000000001</v>
      </c>
      <c r="E147">
        <f t="shared" si="17"/>
        <v>-6.3999999999999986</v>
      </c>
      <c r="F147">
        <f t="shared" si="18"/>
        <v>-3.1802365229600329</v>
      </c>
      <c r="G147">
        <f t="shared" si="20"/>
        <v>49.691195671250526</v>
      </c>
      <c r="H147">
        <f t="shared" si="19"/>
        <v>46.510959148290496</v>
      </c>
    </row>
    <row r="148" spans="1:8" x14ac:dyDescent="0.3">
      <c r="A148" s="1">
        <v>45430</v>
      </c>
      <c r="B148" s="2">
        <f t="shared" si="14"/>
        <v>76.5</v>
      </c>
      <c r="C148">
        <f t="shared" si="15"/>
        <v>0.68</v>
      </c>
      <c r="D148">
        <f t="shared" si="16"/>
        <v>13.600000000000001</v>
      </c>
      <c r="E148">
        <f t="shared" si="17"/>
        <v>-6.3999999999999986</v>
      </c>
      <c r="F148">
        <f t="shared" si="18"/>
        <v>-2.9767013854905913</v>
      </c>
      <c r="G148">
        <f t="shared" si="20"/>
        <v>46.510959148290496</v>
      </c>
      <c r="H148">
        <f t="shared" si="19"/>
        <v>43.534257762799903</v>
      </c>
    </row>
    <row r="149" spans="1:8" x14ac:dyDescent="0.3">
      <c r="A149" s="1">
        <v>45431</v>
      </c>
      <c r="B149" s="2">
        <f t="shared" si="14"/>
        <v>77</v>
      </c>
      <c r="C149">
        <f t="shared" si="15"/>
        <v>0.82</v>
      </c>
      <c r="D149">
        <f t="shared" si="16"/>
        <v>16.399999999999999</v>
      </c>
      <c r="E149">
        <f t="shared" si="17"/>
        <v>-3.6000000000000014</v>
      </c>
      <c r="F149">
        <f t="shared" si="18"/>
        <v>-1.567233279460797</v>
      </c>
      <c r="G149">
        <f t="shared" si="20"/>
        <v>43.534257762799903</v>
      </c>
      <c r="H149">
        <f t="shared" si="19"/>
        <v>41.96702448333911</v>
      </c>
    </row>
    <row r="150" spans="1:8" x14ac:dyDescent="0.3">
      <c r="A150" s="1">
        <v>45432</v>
      </c>
      <c r="B150" s="2">
        <f t="shared" si="14"/>
        <v>77.5</v>
      </c>
      <c r="C150">
        <f t="shared" si="15"/>
        <v>0.96</v>
      </c>
      <c r="D150">
        <f t="shared" si="16"/>
        <v>19.2</v>
      </c>
      <c r="E150">
        <f t="shared" si="17"/>
        <v>-0.80000000000000071</v>
      </c>
      <c r="F150">
        <f t="shared" si="18"/>
        <v>-0.33573619586671316</v>
      </c>
      <c r="G150">
        <f t="shared" si="20"/>
        <v>41.96702448333911</v>
      </c>
      <c r="H150">
        <f t="shared" si="19"/>
        <v>41.631288287472394</v>
      </c>
    </row>
    <row r="151" spans="1:8" x14ac:dyDescent="0.3">
      <c r="A151" s="1">
        <v>45433</v>
      </c>
      <c r="B151" s="2">
        <f t="shared" si="14"/>
        <v>78</v>
      </c>
      <c r="C151">
        <f t="shared" si="15"/>
        <v>0.96</v>
      </c>
      <c r="D151">
        <f t="shared" si="16"/>
        <v>19.2</v>
      </c>
      <c r="E151">
        <f t="shared" si="17"/>
        <v>-0.80000000000000071</v>
      </c>
      <c r="F151">
        <f t="shared" si="18"/>
        <v>-0.33305030629977944</v>
      </c>
      <c r="G151">
        <f t="shared" si="20"/>
        <v>41.631288287472394</v>
      </c>
      <c r="H151">
        <f t="shared" si="19"/>
        <v>41.298237981172612</v>
      </c>
    </row>
    <row r="152" spans="1:8" x14ac:dyDescent="0.3">
      <c r="A152" s="1">
        <v>45434</v>
      </c>
      <c r="B152" s="2">
        <f t="shared" si="14"/>
        <v>78.5</v>
      </c>
      <c r="C152">
        <f t="shared" si="15"/>
        <v>0.96</v>
      </c>
      <c r="D152">
        <f t="shared" si="16"/>
        <v>19.2</v>
      </c>
      <c r="E152">
        <f t="shared" si="17"/>
        <v>-0.80000000000000071</v>
      </c>
      <c r="F152">
        <f t="shared" si="18"/>
        <v>-0.33038590384938121</v>
      </c>
      <c r="G152">
        <f t="shared" si="20"/>
        <v>41.298237981172612</v>
      </c>
      <c r="H152">
        <f t="shared" si="19"/>
        <v>40.967852077323229</v>
      </c>
    </row>
    <row r="153" spans="1:8" x14ac:dyDescent="0.3">
      <c r="A153" s="1">
        <v>45435</v>
      </c>
      <c r="B153" s="2">
        <f t="shared" si="14"/>
        <v>79</v>
      </c>
      <c r="C153">
        <f t="shared" si="15"/>
        <v>0.1</v>
      </c>
      <c r="D153">
        <f t="shared" si="16"/>
        <v>2</v>
      </c>
      <c r="E153">
        <f t="shared" si="17"/>
        <v>2</v>
      </c>
      <c r="F153">
        <f t="shared" si="18"/>
        <v>0.8193570415464646</v>
      </c>
      <c r="G153">
        <f t="shared" si="20"/>
        <v>40.967852077323229</v>
      </c>
      <c r="H153">
        <f t="shared" si="19"/>
        <v>41.787209118869697</v>
      </c>
    </row>
    <row r="154" spans="1:8" x14ac:dyDescent="0.3">
      <c r="A154" s="1">
        <v>45436</v>
      </c>
      <c r="B154" s="2">
        <f t="shared" si="14"/>
        <v>79.5</v>
      </c>
      <c r="C154">
        <f t="shared" si="15"/>
        <v>0.24</v>
      </c>
      <c r="D154">
        <f t="shared" si="16"/>
        <v>4.8</v>
      </c>
      <c r="E154">
        <f t="shared" si="17"/>
        <v>4.8</v>
      </c>
      <c r="F154">
        <f t="shared" si="18"/>
        <v>2.0057860377057457</v>
      </c>
      <c r="G154">
        <f t="shared" si="20"/>
        <v>41.787209118869697</v>
      </c>
      <c r="H154">
        <f t="shared" si="19"/>
        <v>43.792995156575444</v>
      </c>
    </row>
    <row r="155" spans="1:8" x14ac:dyDescent="0.3">
      <c r="A155" s="1">
        <v>45437</v>
      </c>
      <c r="B155" s="2">
        <f t="shared" si="14"/>
        <v>80</v>
      </c>
      <c r="C155">
        <f t="shared" si="15"/>
        <v>0.24</v>
      </c>
      <c r="D155">
        <f t="shared" si="16"/>
        <v>4.8</v>
      </c>
      <c r="E155">
        <f t="shared" si="17"/>
        <v>4.8</v>
      </c>
      <c r="F155">
        <f t="shared" si="18"/>
        <v>2.1020637675156215</v>
      </c>
      <c r="G155">
        <f t="shared" si="20"/>
        <v>43.792995156575444</v>
      </c>
      <c r="H155">
        <f t="shared" si="19"/>
        <v>45.895058924091067</v>
      </c>
    </row>
    <row r="156" spans="1:8" x14ac:dyDescent="0.3">
      <c r="A156" s="1">
        <v>45438</v>
      </c>
      <c r="B156" s="2">
        <f t="shared" si="14"/>
        <v>80.5</v>
      </c>
      <c r="C156">
        <f t="shared" si="15"/>
        <v>0.24</v>
      </c>
      <c r="D156">
        <f t="shared" si="16"/>
        <v>4.8</v>
      </c>
      <c r="E156">
        <f t="shared" si="17"/>
        <v>4.8</v>
      </c>
      <c r="F156">
        <f t="shared" si="18"/>
        <v>2.2029628283563714</v>
      </c>
      <c r="G156">
        <f t="shared" si="20"/>
        <v>45.895058924091067</v>
      </c>
      <c r="H156">
        <f t="shared" si="19"/>
        <v>48.098021752447437</v>
      </c>
    </row>
    <row r="157" spans="1:8" x14ac:dyDescent="0.3">
      <c r="A157" s="1">
        <v>45439</v>
      </c>
      <c r="B157" s="2">
        <f t="shared" si="14"/>
        <v>81</v>
      </c>
      <c r="C157">
        <f t="shared" si="15"/>
        <v>0.38</v>
      </c>
      <c r="D157">
        <f t="shared" si="16"/>
        <v>7.6</v>
      </c>
      <c r="E157">
        <f t="shared" si="17"/>
        <v>7.6</v>
      </c>
      <c r="F157">
        <f t="shared" si="18"/>
        <v>3.6554496531860052</v>
      </c>
      <c r="G157">
        <f t="shared" si="20"/>
        <v>48.098021752447437</v>
      </c>
      <c r="H157">
        <f t="shared" si="19"/>
        <v>51.753471405633441</v>
      </c>
    </row>
    <row r="158" spans="1:8" x14ac:dyDescent="0.3">
      <c r="A158" s="1">
        <v>45440</v>
      </c>
      <c r="B158" s="2">
        <f t="shared" si="14"/>
        <v>81.5</v>
      </c>
      <c r="C158">
        <f t="shared" si="15"/>
        <v>0.52</v>
      </c>
      <c r="D158">
        <f t="shared" si="16"/>
        <v>10.4</v>
      </c>
      <c r="E158">
        <f t="shared" si="17"/>
        <v>-9.6</v>
      </c>
      <c r="F158">
        <f t="shared" si="18"/>
        <v>-4.9683332549408101</v>
      </c>
      <c r="G158">
        <f t="shared" si="20"/>
        <v>51.753471405633441</v>
      </c>
      <c r="H158">
        <f t="shared" si="19"/>
        <v>46.785138150692632</v>
      </c>
    </row>
    <row r="159" spans="1:8" x14ac:dyDescent="0.3">
      <c r="A159" s="1">
        <v>45441</v>
      </c>
      <c r="B159" s="2">
        <f t="shared" si="14"/>
        <v>82</v>
      </c>
      <c r="C159">
        <f t="shared" si="15"/>
        <v>0.52</v>
      </c>
      <c r="D159">
        <f t="shared" si="16"/>
        <v>10.4</v>
      </c>
      <c r="E159">
        <f t="shared" si="17"/>
        <v>-9.6</v>
      </c>
      <c r="F159">
        <f t="shared" si="18"/>
        <v>-4.4913732624664924</v>
      </c>
      <c r="G159">
        <f t="shared" si="20"/>
        <v>46.785138150692632</v>
      </c>
      <c r="H159">
        <f t="shared" si="19"/>
        <v>42.293764888226136</v>
      </c>
    </row>
    <row r="160" spans="1:8" x14ac:dyDescent="0.3">
      <c r="A160" s="1">
        <v>45442</v>
      </c>
      <c r="B160" s="2">
        <f t="shared" si="14"/>
        <v>82.5</v>
      </c>
      <c r="C160">
        <f t="shared" si="15"/>
        <v>0.52</v>
      </c>
      <c r="D160">
        <f t="shared" si="16"/>
        <v>10.4</v>
      </c>
      <c r="E160">
        <f t="shared" si="17"/>
        <v>-9.6</v>
      </c>
      <c r="F160">
        <f t="shared" si="18"/>
        <v>-4.0602014292697088</v>
      </c>
      <c r="G160">
        <f t="shared" si="20"/>
        <v>42.293764888226136</v>
      </c>
      <c r="H160">
        <f t="shared" si="19"/>
        <v>38.233563458956425</v>
      </c>
    </row>
    <row r="161" spans="1:8" x14ac:dyDescent="0.3">
      <c r="A161" s="1">
        <v>45443</v>
      </c>
      <c r="B161" s="2">
        <f t="shared" si="14"/>
        <v>83</v>
      </c>
      <c r="C161">
        <f t="shared" si="15"/>
        <v>0.66</v>
      </c>
      <c r="D161">
        <f t="shared" si="16"/>
        <v>13.200000000000001</v>
      </c>
      <c r="E161">
        <f t="shared" si="17"/>
        <v>-6.7999999999999989</v>
      </c>
      <c r="F161">
        <f t="shared" si="18"/>
        <v>-2.5998823152090367</v>
      </c>
      <c r="G161">
        <f t="shared" si="20"/>
        <v>38.233563458956425</v>
      </c>
      <c r="H161">
        <f t="shared" si="19"/>
        <v>35.633681143747388</v>
      </c>
    </row>
    <row r="162" spans="1:8" x14ac:dyDescent="0.3">
      <c r="A162" s="1">
        <v>45444</v>
      </c>
      <c r="B162" s="2">
        <f t="shared" si="14"/>
        <v>83.5</v>
      </c>
      <c r="C162">
        <f t="shared" si="15"/>
        <v>0.8</v>
      </c>
      <c r="D162">
        <f t="shared" si="16"/>
        <v>16</v>
      </c>
      <c r="E162">
        <f t="shared" si="17"/>
        <v>-4</v>
      </c>
      <c r="F162">
        <f t="shared" si="18"/>
        <v>-1.4253472457498955</v>
      </c>
      <c r="G162">
        <f t="shared" si="20"/>
        <v>35.633681143747388</v>
      </c>
      <c r="H162">
        <f t="shared" si="19"/>
        <v>34.208333897997491</v>
      </c>
    </row>
    <row r="163" spans="1:8" x14ac:dyDescent="0.3">
      <c r="A163" s="1">
        <v>45445</v>
      </c>
      <c r="B163" s="2">
        <f t="shared" si="14"/>
        <v>84</v>
      </c>
      <c r="C163">
        <f t="shared" si="15"/>
        <v>0.8</v>
      </c>
      <c r="D163">
        <f t="shared" si="16"/>
        <v>16</v>
      </c>
      <c r="E163">
        <f t="shared" si="17"/>
        <v>-4</v>
      </c>
      <c r="F163">
        <f t="shared" si="18"/>
        <v>-1.3683333559198996</v>
      </c>
      <c r="G163">
        <f t="shared" si="20"/>
        <v>34.208333897997491</v>
      </c>
      <c r="H163">
        <f t="shared" si="19"/>
        <v>32.84000054207759</v>
      </c>
    </row>
    <row r="164" spans="1:8" x14ac:dyDescent="0.3">
      <c r="A164" s="1">
        <v>45446</v>
      </c>
      <c r="B164" s="2">
        <f t="shared" si="14"/>
        <v>84.5</v>
      </c>
      <c r="C164">
        <f t="shared" si="15"/>
        <v>0.8</v>
      </c>
      <c r="D164">
        <f t="shared" si="16"/>
        <v>16</v>
      </c>
      <c r="E164">
        <f t="shared" si="17"/>
        <v>-4</v>
      </c>
      <c r="F164">
        <f t="shared" si="18"/>
        <v>-1.3136000216831036</v>
      </c>
      <c r="G164">
        <f t="shared" si="20"/>
        <v>32.84000054207759</v>
      </c>
      <c r="H164">
        <f t="shared" si="19"/>
        <v>31.526400520394485</v>
      </c>
    </row>
    <row r="165" spans="1:8" x14ac:dyDescent="0.3">
      <c r="A165" s="1">
        <v>45447</v>
      </c>
      <c r="B165" s="2">
        <f t="shared" si="14"/>
        <v>85</v>
      </c>
      <c r="C165">
        <f t="shared" si="15"/>
        <v>0.94</v>
      </c>
      <c r="D165">
        <f t="shared" si="16"/>
        <v>18.799999999999997</v>
      </c>
      <c r="E165">
        <f t="shared" si="17"/>
        <v>-1.2000000000000028</v>
      </c>
      <c r="F165">
        <f t="shared" si="18"/>
        <v>-0.37831680624473468</v>
      </c>
      <c r="G165">
        <f t="shared" si="20"/>
        <v>31.526400520394485</v>
      </c>
      <c r="H165">
        <f t="shared" si="19"/>
        <v>31.148083714149752</v>
      </c>
    </row>
    <row r="166" spans="1:8" x14ac:dyDescent="0.3">
      <c r="A166" s="1">
        <v>45448</v>
      </c>
      <c r="B166" s="2">
        <f t="shared" si="14"/>
        <v>85.5</v>
      </c>
      <c r="C166">
        <f t="shared" si="15"/>
        <v>0.08</v>
      </c>
      <c r="D166">
        <f t="shared" si="16"/>
        <v>1.6</v>
      </c>
      <c r="E166">
        <f t="shared" si="17"/>
        <v>1.6</v>
      </c>
      <c r="F166">
        <f t="shared" si="18"/>
        <v>0.49836933942639605</v>
      </c>
      <c r="G166">
        <f t="shared" si="20"/>
        <v>31.148083714149752</v>
      </c>
      <c r="H166">
        <f t="shared" si="19"/>
        <v>31.646453053576149</v>
      </c>
    </row>
    <row r="167" spans="1:8" x14ac:dyDescent="0.3">
      <c r="A167" s="1">
        <v>45449</v>
      </c>
      <c r="B167" s="2">
        <f t="shared" si="14"/>
        <v>86</v>
      </c>
      <c r="C167">
        <f t="shared" si="15"/>
        <v>0.08</v>
      </c>
      <c r="D167">
        <f t="shared" si="16"/>
        <v>1.6</v>
      </c>
      <c r="E167">
        <f t="shared" si="17"/>
        <v>1.6</v>
      </c>
      <c r="F167">
        <f t="shared" si="18"/>
        <v>0.50634324885721838</v>
      </c>
      <c r="G167">
        <f t="shared" si="20"/>
        <v>31.646453053576149</v>
      </c>
      <c r="H167">
        <f t="shared" si="19"/>
        <v>32.152796302433366</v>
      </c>
    </row>
    <row r="168" spans="1:8" x14ac:dyDescent="0.3">
      <c r="A168" s="1">
        <v>45450</v>
      </c>
      <c r="B168" s="2">
        <f t="shared" si="14"/>
        <v>86.5</v>
      </c>
      <c r="C168">
        <f t="shared" si="15"/>
        <v>0.08</v>
      </c>
      <c r="D168">
        <f t="shared" si="16"/>
        <v>1.6</v>
      </c>
      <c r="E168">
        <f t="shared" si="17"/>
        <v>1.6</v>
      </c>
      <c r="F168">
        <f t="shared" si="18"/>
        <v>0.51444474083893388</v>
      </c>
      <c r="G168">
        <f t="shared" si="20"/>
        <v>32.152796302433366</v>
      </c>
      <c r="H168">
        <f t="shared" si="19"/>
        <v>32.667241043272298</v>
      </c>
    </row>
    <row r="169" spans="1:8" x14ac:dyDescent="0.3">
      <c r="A169" s="1">
        <v>45451</v>
      </c>
      <c r="B169" s="2">
        <f t="shared" si="14"/>
        <v>87</v>
      </c>
      <c r="C169">
        <f t="shared" si="15"/>
        <v>0.22</v>
      </c>
      <c r="D169">
        <f t="shared" si="16"/>
        <v>4.4000000000000004</v>
      </c>
      <c r="E169">
        <f t="shared" si="17"/>
        <v>4.4000000000000004</v>
      </c>
      <c r="F169">
        <f t="shared" si="18"/>
        <v>1.4373586059039813</v>
      </c>
      <c r="G169">
        <f t="shared" si="20"/>
        <v>32.667241043272298</v>
      </c>
      <c r="H169">
        <f t="shared" si="19"/>
        <v>34.104599649176279</v>
      </c>
    </row>
    <row r="170" spans="1:8" x14ac:dyDescent="0.3">
      <c r="A170" s="1">
        <v>45452</v>
      </c>
      <c r="B170" s="2">
        <f t="shared" si="14"/>
        <v>87.5</v>
      </c>
      <c r="C170">
        <f t="shared" si="15"/>
        <v>0.36</v>
      </c>
      <c r="D170">
        <f t="shared" si="16"/>
        <v>7.1999999999999993</v>
      </c>
      <c r="E170">
        <f t="shared" si="17"/>
        <v>7.1999999999999993</v>
      </c>
      <c r="F170">
        <f t="shared" si="18"/>
        <v>2.4555311747406918</v>
      </c>
      <c r="G170">
        <f t="shared" si="20"/>
        <v>34.104599649176279</v>
      </c>
      <c r="H170">
        <f t="shared" si="19"/>
        <v>36.560130823916971</v>
      </c>
    </row>
    <row r="171" spans="1:8" x14ac:dyDescent="0.3">
      <c r="A171" s="1">
        <v>45453</v>
      </c>
      <c r="B171" s="2">
        <f t="shared" si="14"/>
        <v>88</v>
      </c>
      <c r="C171">
        <f t="shared" si="15"/>
        <v>0.36</v>
      </c>
      <c r="D171">
        <f t="shared" si="16"/>
        <v>7.1999999999999993</v>
      </c>
      <c r="E171">
        <f t="shared" si="17"/>
        <v>7.1999999999999993</v>
      </c>
      <c r="F171">
        <f t="shared" si="18"/>
        <v>2.6323294193220219</v>
      </c>
      <c r="G171">
        <f t="shared" si="20"/>
        <v>36.560130823916971</v>
      </c>
      <c r="H171">
        <f t="shared" si="19"/>
        <v>39.19246024323899</v>
      </c>
    </row>
    <row r="172" spans="1:8" x14ac:dyDescent="0.3">
      <c r="A172" s="1">
        <v>45454</v>
      </c>
      <c r="B172" s="2">
        <f t="shared" si="14"/>
        <v>88.5</v>
      </c>
      <c r="C172">
        <f t="shared" si="15"/>
        <v>0.36</v>
      </c>
      <c r="D172">
        <f t="shared" si="16"/>
        <v>7.1999999999999993</v>
      </c>
      <c r="E172">
        <f t="shared" si="17"/>
        <v>7.1999999999999993</v>
      </c>
      <c r="F172">
        <f t="shared" si="18"/>
        <v>2.8218571375132071</v>
      </c>
      <c r="G172">
        <f t="shared" si="20"/>
        <v>39.19246024323899</v>
      </c>
      <c r="H172">
        <f t="shared" si="19"/>
        <v>42.014317380752196</v>
      </c>
    </row>
    <row r="173" spans="1:8" x14ac:dyDescent="0.3">
      <c r="A173" s="1">
        <v>45455</v>
      </c>
      <c r="B173" s="2">
        <f t="shared" si="14"/>
        <v>89</v>
      </c>
      <c r="C173">
        <f t="shared" si="15"/>
        <v>0.5</v>
      </c>
      <c r="D173">
        <f t="shared" si="16"/>
        <v>10</v>
      </c>
      <c r="E173">
        <f t="shared" si="17"/>
        <v>10</v>
      </c>
      <c r="F173">
        <f t="shared" si="18"/>
        <v>4.20143173807522</v>
      </c>
      <c r="G173">
        <f t="shared" si="20"/>
        <v>42.014317380752196</v>
      </c>
      <c r="H173">
        <f t="shared" si="19"/>
        <v>46.215749118827418</v>
      </c>
    </row>
    <row r="174" spans="1:8" x14ac:dyDescent="0.3">
      <c r="A174" s="1">
        <v>45456</v>
      </c>
      <c r="B174" s="2">
        <f t="shared" si="14"/>
        <v>89.5</v>
      </c>
      <c r="C174">
        <f t="shared" si="15"/>
        <v>0.64</v>
      </c>
      <c r="D174">
        <f t="shared" si="16"/>
        <v>12.8</v>
      </c>
      <c r="E174">
        <f t="shared" si="17"/>
        <v>-7.1999999999999993</v>
      </c>
      <c r="F174">
        <f t="shared" si="18"/>
        <v>-3.3275339365555738</v>
      </c>
      <c r="G174">
        <f t="shared" si="20"/>
        <v>46.215749118827418</v>
      </c>
      <c r="H174">
        <f t="shared" si="19"/>
        <v>42.888215182271843</v>
      </c>
    </row>
    <row r="175" spans="1:8" x14ac:dyDescent="0.3">
      <c r="A175" s="1">
        <v>45457</v>
      </c>
      <c r="B175" s="2">
        <f t="shared" si="14"/>
        <v>90</v>
      </c>
      <c r="C175">
        <f t="shared" si="15"/>
        <v>0.64</v>
      </c>
      <c r="D175">
        <f t="shared" si="16"/>
        <v>12.8</v>
      </c>
      <c r="E175">
        <f t="shared" si="17"/>
        <v>-7.1999999999999993</v>
      </c>
      <c r="F175">
        <f t="shared" si="18"/>
        <v>-3.0879514931235725</v>
      </c>
      <c r="G175">
        <f t="shared" si="20"/>
        <v>42.888215182271843</v>
      </c>
      <c r="H175">
        <f t="shared" si="19"/>
        <v>39.800263689148267</v>
      </c>
    </row>
    <row r="176" spans="1:8" x14ac:dyDescent="0.3">
      <c r="A176" s="1">
        <v>45458</v>
      </c>
      <c r="B176" s="2">
        <f t="shared" si="14"/>
        <v>90.5</v>
      </c>
      <c r="C176">
        <f t="shared" si="15"/>
        <v>0.64</v>
      </c>
      <c r="D176">
        <f t="shared" si="16"/>
        <v>12.8</v>
      </c>
      <c r="E176">
        <f t="shared" si="17"/>
        <v>-7.1999999999999993</v>
      </c>
      <c r="F176">
        <f t="shared" si="18"/>
        <v>-2.8656189856186751</v>
      </c>
      <c r="G176">
        <f t="shared" si="20"/>
        <v>39.800263689148267</v>
      </c>
      <c r="H176">
        <f t="shared" si="19"/>
        <v>36.934644703529592</v>
      </c>
    </row>
    <row r="177" spans="1:8" x14ac:dyDescent="0.3">
      <c r="A177" s="1">
        <v>45459</v>
      </c>
      <c r="B177" s="2">
        <f t="shared" si="14"/>
        <v>91</v>
      </c>
      <c r="C177">
        <f t="shared" si="15"/>
        <v>0.78</v>
      </c>
      <c r="D177">
        <f t="shared" si="16"/>
        <v>15.600000000000001</v>
      </c>
      <c r="E177">
        <f t="shared" si="17"/>
        <v>-4.3999999999999986</v>
      </c>
      <c r="F177">
        <f t="shared" si="18"/>
        <v>-1.6251243669553015</v>
      </c>
      <c r="G177">
        <f t="shared" si="20"/>
        <v>36.934644703529592</v>
      </c>
      <c r="H177">
        <f t="shared" si="19"/>
        <v>35.309520336574288</v>
      </c>
    </row>
    <row r="178" spans="1:8" x14ac:dyDescent="0.3">
      <c r="A178" s="1">
        <v>45460</v>
      </c>
      <c r="B178" s="2">
        <f t="shared" si="14"/>
        <v>91.5</v>
      </c>
      <c r="C178">
        <f t="shared" si="15"/>
        <v>0.92</v>
      </c>
      <c r="D178">
        <f t="shared" si="16"/>
        <v>18.400000000000002</v>
      </c>
      <c r="E178">
        <f t="shared" si="17"/>
        <v>-1.5999999999999979</v>
      </c>
      <c r="F178">
        <f t="shared" si="18"/>
        <v>-0.56495232538518791</v>
      </c>
      <c r="G178">
        <f t="shared" si="20"/>
        <v>35.309520336574288</v>
      </c>
      <c r="H178">
        <f t="shared" si="19"/>
        <v>34.744568011189102</v>
      </c>
    </row>
    <row r="179" spans="1:8" x14ac:dyDescent="0.3">
      <c r="A179" s="1">
        <v>45461</v>
      </c>
      <c r="B179" s="2">
        <f t="shared" si="14"/>
        <v>92</v>
      </c>
      <c r="C179">
        <f t="shared" si="15"/>
        <v>0.92</v>
      </c>
      <c r="D179">
        <f t="shared" si="16"/>
        <v>18.400000000000002</v>
      </c>
      <c r="E179">
        <f t="shared" si="17"/>
        <v>-1.5999999999999979</v>
      </c>
      <c r="F179">
        <f t="shared" si="18"/>
        <v>-0.55591308817902496</v>
      </c>
      <c r="G179">
        <f t="shared" si="20"/>
        <v>34.744568011189102</v>
      </c>
      <c r="H179">
        <f t="shared" si="19"/>
        <v>34.188654923010077</v>
      </c>
    </row>
    <row r="180" spans="1:8" x14ac:dyDescent="0.3">
      <c r="A180" s="1">
        <v>45462</v>
      </c>
      <c r="B180" s="2">
        <f t="shared" si="14"/>
        <v>92.5</v>
      </c>
      <c r="C180">
        <f t="shared" si="15"/>
        <v>0.92</v>
      </c>
      <c r="D180">
        <f t="shared" si="16"/>
        <v>18.400000000000002</v>
      </c>
      <c r="E180">
        <f t="shared" si="17"/>
        <v>-1.5999999999999979</v>
      </c>
      <c r="F180">
        <f t="shared" si="18"/>
        <v>-0.54701847876816057</v>
      </c>
      <c r="G180">
        <f t="shared" si="20"/>
        <v>34.188654923010077</v>
      </c>
      <c r="H180">
        <f t="shared" si="19"/>
        <v>33.641636444241918</v>
      </c>
    </row>
    <row r="181" spans="1:8" x14ac:dyDescent="0.3">
      <c r="A181" s="1">
        <v>45463</v>
      </c>
      <c r="B181" s="2">
        <f t="shared" si="14"/>
        <v>93</v>
      </c>
      <c r="C181">
        <f t="shared" si="15"/>
        <v>0.06</v>
      </c>
      <c r="D181">
        <f t="shared" si="16"/>
        <v>1.2</v>
      </c>
      <c r="E181">
        <f t="shared" si="17"/>
        <v>1.2</v>
      </c>
      <c r="F181">
        <f t="shared" si="18"/>
        <v>0.40369963733090303</v>
      </c>
      <c r="G181">
        <f t="shared" si="20"/>
        <v>33.641636444241918</v>
      </c>
      <c r="H181">
        <f t="shared" si="19"/>
        <v>34.04533608157282</v>
      </c>
    </row>
    <row r="182" spans="1:8" x14ac:dyDescent="0.3">
      <c r="A182" s="1">
        <v>45464</v>
      </c>
      <c r="B182" s="2">
        <f t="shared" si="14"/>
        <v>93.5</v>
      </c>
      <c r="C182">
        <f t="shared" si="15"/>
        <v>0.2</v>
      </c>
      <c r="D182">
        <f t="shared" si="16"/>
        <v>4</v>
      </c>
      <c r="E182">
        <f t="shared" si="17"/>
        <v>4</v>
      </c>
      <c r="F182">
        <f t="shared" si="18"/>
        <v>1.3618134432629128</v>
      </c>
      <c r="G182">
        <f t="shared" si="20"/>
        <v>34.04533608157282</v>
      </c>
      <c r="H182">
        <f t="shared" si="19"/>
        <v>35.407149524835731</v>
      </c>
    </row>
    <row r="183" spans="1:8" x14ac:dyDescent="0.3">
      <c r="A183" s="1">
        <v>45465</v>
      </c>
      <c r="B183" s="2">
        <f t="shared" si="14"/>
        <v>94</v>
      </c>
      <c r="C183">
        <f t="shared" si="15"/>
        <v>0.2</v>
      </c>
      <c r="D183">
        <f t="shared" si="16"/>
        <v>4</v>
      </c>
      <c r="E183">
        <f t="shared" si="17"/>
        <v>4</v>
      </c>
      <c r="F183">
        <f t="shared" si="18"/>
        <v>1.4162859809934292</v>
      </c>
      <c r="G183">
        <f t="shared" si="20"/>
        <v>35.407149524835731</v>
      </c>
      <c r="H183">
        <f t="shared" si="19"/>
        <v>36.82343550582916</v>
      </c>
    </row>
    <row r="184" spans="1:8" x14ac:dyDescent="0.3">
      <c r="A184" s="1">
        <v>45466</v>
      </c>
      <c r="B184" s="2">
        <f t="shared" si="14"/>
        <v>94.5</v>
      </c>
      <c r="C184">
        <f t="shared" si="15"/>
        <v>0.2</v>
      </c>
      <c r="D184">
        <f t="shared" si="16"/>
        <v>4</v>
      </c>
      <c r="E184">
        <f t="shared" si="17"/>
        <v>4</v>
      </c>
      <c r="F184">
        <f t="shared" si="18"/>
        <v>1.4729374202331664</v>
      </c>
      <c r="G184">
        <f t="shared" si="20"/>
        <v>36.82343550582916</v>
      </c>
      <c r="H184">
        <f t="shared" si="19"/>
        <v>38.296372926062325</v>
      </c>
    </row>
    <row r="185" spans="1:8" x14ac:dyDescent="0.3">
      <c r="A185" s="1">
        <v>45467</v>
      </c>
      <c r="B185" s="2">
        <f t="shared" si="14"/>
        <v>95</v>
      </c>
      <c r="C185">
        <f t="shared" si="15"/>
        <v>0.34</v>
      </c>
      <c r="D185">
        <f t="shared" si="16"/>
        <v>6.8000000000000007</v>
      </c>
      <c r="E185">
        <f t="shared" si="17"/>
        <v>6.8000000000000007</v>
      </c>
      <c r="F185">
        <f t="shared" si="18"/>
        <v>2.6041533589722383</v>
      </c>
      <c r="G185">
        <f t="shared" si="20"/>
        <v>38.296372926062325</v>
      </c>
      <c r="H185">
        <f t="shared" si="19"/>
        <v>40.900526285034566</v>
      </c>
    </row>
    <row r="186" spans="1:8" x14ac:dyDescent="0.3">
      <c r="A186" s="1">
        <v>45468</v>
      </c>
      <c r="B186" s="2">
        <f t="shared" si="14"/>
        <v>95.5</v>
      </c>
      <c r="C186">
        <f t="shared" si="15"/>
        <v>0.48</v>
      </c>
      <c r="D186">
        <f t="shared" si="16"/>
        <v>9.6</v>
      </c>
      <c r="E186">
        <f t="shared" si="17"/>
        <v>9.6</v>
      </c>
      <c r="F186">
        <f t="shared" si="18"/>
        <v>3.9264505233633185</v>
      </c>
      <c r="G186">
        <f t="shared" si="20"/>
        <v>40.900526285034566</v>
      </c>
      <c r="H186">
        <f t="shared" si="19"/>
        <v>44.826976808397887</v>
      </c>
    </row>
    <row r="187" spans="1:8" x14ac:dyDescent="0.3">
      <c r="A187" s="1">
        <v>45469</v>
      </c>
      <c r="B187" s="2">
        <f t="shared" si="14"/>
        <v>96</v>
      </c>
      <c r="C187">
        <f t="shared" si="15"/>
        <v>0.48</v>
      </c>
      <c r="D187">
        <f t="shared" si="16"/>
        <v>9.6</v>
      </c>
      <c r="E187">
        <f t="shared" si="17"/>
        <v>9.6</v>
      </c>
      <c r="F187">
        <f t="shared" si="18"/>
        <v>4.303389773606197</v>
      </c>
      <c r="G187">
        <f t="shared" si="20"/>
        <v>44.826976808397887</v>
      </c>
      <c r="H187">
        <f t="shared" si="19"/>
        <v>49.130366582004086</v>
      </c>
    </row>
    <row r="188" spans="1:8" x14ac:dyDescent="0.3">
      <c r="A188" s="1">
        <v>45470</v>
      </c>
      <c r="B188" s="2">
        <f t="shared" si="14"/>
        <v>96.5</v>
      </c>
      <c r="C188">
        <f t="shared" si="15"/>
        <v>0.48</v>
      </c>
      <c r="D188">
        <f t="shared" si="16"/>
        <v>9.6</v>
      </c>
      <c r="E188">
        <f t="shared" si="17"/>
        <v>9.6</v>
      </c>
      <c r="F188">
        <f t="shared" si="18"/>
        <v>4.716515191872392</v>
      </c>
      <c r="G188">
        <f t="shared" si="20"/>
        <v>49.130366582004086</v>
      </c>
      <c r="H188">
        <f t="shared" si="19"/>
        <v>53.846881773876476</v>
      </c>
    </row>
    <row r="189" spans="1:8" x14ac:dyDescent="0.3">
      <c r="A189" s="1">
        <v>45471</v>
      </c>
      <c r="B189" s="2">
        <f t="shared" si="14"/>
        <v>97</v>
      </c>
      <c r="C189">
        <f t="shared" si="15"/>
        <v>0.62</v>
      </c>
      <c r="D189">
        <f t="shared" si="16"/>
        <v>12.4</v>
      </c>
      <c r="E189">
        <f t="shared" si="17"/>
        <v>-7.6</v>
      </c>
      <c r="F189">
        <f t="shared" si="18"/>
        <v>-4.0923630148146124</v>
      </c>
      <c r="G189">
        <f t="shared" si="20"/>
        <v>53.846881773876476</v>
      </c>
      <c r="H189">
        <f t="shared" si="19"/>
        <v>49.754518759061867</v>
      </c>
    </row>
    <row r="190" spans="1:8" x14ac:dyDescent="0.3">
      <c r="A190" s="1">
        <v>45472</v>
      </c>
      <c r="B190" s="2">
        <f t="shared" si="14"/>
        <v>97.5</v>
      </c>
      <c r="C190">
        <f t="shared" si="15"/>
        <v>0.76</v>
      </c>
      <c r="D190">
        <f t="shared" si="16"/>
        <v>15.2</v>
      </c>
      <c r="E190">
        <f t="shared" si="17"/>
        <v>-4.8000000000000007</v>
      </c>
      <c r="F190">
        <f t="shared" si="18"/>
        <v>-2.38821690043497</v>
      </c>
      <c r="G190">
        <f t="shared" si="20"/>
        <v>49.754518759061867</v>
      </c>
      <c r="H190">
        <f t="shared" si="19"/>
        <v>47.366301858626898</v>
      </c>
    </row>
    <row r="191" spans="1:8" x14ac:dyDescent="0.3">
      <c r="A191" s="1">
        <v>45473</v>
      </c>
      <c r="B191" s="2">
        <f t="shared" si="14"/>
        <v>98</v>
      </c>
      <c r="C191">
        <f t="shared" si="15"/>
        <v>0.76</v>
      </c>
      <c r="D191">
        <f t="shared" si="16"/>
        <v>15.2</v>
      </c>
      <c r="E191">
        <f t="shared" si="17"/>
        <v>-4.8000000000000007</v>
      </c>
      <c r="F191">
        <f t="shared" si="18"/>
        <v>-2.2735824892140917</v>
      </c>
      <c r="G191">
        <f t="shared" si="20"/>
        <v>47.366301858626898</v>
      </c>
      <c r="H191">
        <f t="shared" si="19"/>
        <v>45.092719369412805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5F0F-A652-44A2-A6F2-204EBEB2C7F1}">
  <sheetPr codeName="Sheet3"/>
  <dimension ref="A1:B16"/>
  <sheetViews>
    <sheetView workbookViewId="0">
      <selection activeCell="B7" sqref="B7"/>
    </sheetView>
  </sheetViews>
  <sheetFormatPr defaultRowHeight="14.4" x14ac:dyDescent="0.3"/>
  <cols>
    <col min="1" max="1" width="14" customWidth="1"/>
  </cols>
  <sheetData>
    <row r="1" spans="1:2" x14ac:dyDescent="0.3">
      <c r="A1">
        <f>SeededRandom(123)</f>
        <v>0.54610000000000003</v>
      </c>
    </row>
    <row r="4" spans="1:2" x14ac:dyDescent="0.3">
      <c r="A4" s="3" t="s">
        <v>14</v>
      </c>
      <c r="B4">
        <v>626</v>
      </c>
    </row>
    <row r="7" spans="1:2" x14ac:dyDescent="0.3">
      <c r="A7">
        <v>1</v>
      </c>
      <c r="B7">
        <f>SeededRandomWithDay($B$4,A7)</f>
        <v>0.17161999999999999</v>
      </c>
    </row>
    <row r="8" spans="1:2" x14ac:dyDescent="0.3">
      <c r="A8">
        <v>2</v>
      </c>
      <c r="B8">
        <f>SeededRandomWithDay($B$4,A8)</f>
        <v>0.31175000000000003</v>
      </c>
    </row>
    <row r="9" spans="1:2" x14ac:dyDescent="0.3">
      <c r="A9">
        <v>3</v>
      </c>
      <c r="B9">
        <f>SeededRandomWithDay($B$4,A9)</f>
        <v>0.45188</v>
      </c>
    </row>
    <row r="10" spans="1:2" x14ac:dyDescent="0.3">
      <c r="A10">
        <v>4</v>
      </c>
      <c r="B10">
        <f>SeededRandomWithDay($B$4,A10)</f>
        <v>0.59201000000000004</v>
      </c>
    </row>
    <row r="11" spans="1:2" x14ac:dyDescent="0.3">
      <c r="A11">
        <v>5</v>
      </c>
      <c r="B11">
        <f t="shared" ref="B11:B16" si="0">SeededRandomWithDay($B$4,A11)</f>
        <v>0.73214000000000001</v>
      </c>
    </row>
    <row r="12" spans="1:2" x14ac:dyDescent="0.3">
      <c r="A12">
        <v>6</v>
      </c>
      <c r="B12">
        <f t="shared" si="0"/>
        <v>0.87226999999999999</v>
      </c>
    </row>
    <row r="13" spans="1:2" x14ac:dyDescent="0.3">
      <c r="A13">
        <v>7</v>
      </c>
      <c r="B13">
        <f t="shared" si="0"/>
        <v>1.24E-2</v>
      </c>
    </row>
    <row r="14" spans="1:2" x14ac:dyDescent="0.3">
      <c r="A14">
        <v>8</v>
      </c>
      <c r="B14">
        <f t="shared" si="0"/>
        <v>0.15253</v>
      </c>
    </row>
    <row r="15" spans="1:2" x14ac:dyDescent="0.3">
      <c r="A15">
        <v>9</v>
      </c>
      <c r="B15">
        <f t="shared" si="0"/>
        <v>0.29265999999999998</v>
      </c>
    </row>
    <row r="16" spans="1:2" x14ac:dyDescent="0.3">
      <c r="A16">
        <v>10</v>
      </c>
      <c r="B16">
        <f t="shared" si="0"/>
        <v>0.43279000000000001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RandomFunction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Tsoukas</dc:creator>
  <cp:lastModifiedBy>Anthony Tsoukas</cp:lastModifiedBy>
  <dcterms:created xsi:type="dcterms:W3CDTF">2024-11-23T21:50:07Z</dcterms:created>
  <dcterms:modified xsi:type="dcterms:W3CDTF">2024-11-25T07:49:34Z</dcterms:modified>
</cp:coreProperties>
</file>